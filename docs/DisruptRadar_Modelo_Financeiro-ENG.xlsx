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2"/>
    <sheet name="Excel Simulator" sheetId="2" state="visible" r:id="rId3"/>
    <sheet name="Scenario Matrix" sheetId="3" state="visible" r:id="rId4"/>
    <sheet name="Year 1 Assumptions" sheetId="4" state="visible" r:id="rId5"/>
    <sheet name="Usage-Based Delivery Costs" sheetId="5" state="visible" r:id="rId6"/>
    <sheet name="Base Projection Controls" sheetId="6" state="visible" r:id="rId7"/>
    <sheet name="Base Monthly Projection" sheetId="7" state="visible" r:id="rId8"/>
    <sheet name="Base Annual Reconciliation" sheetId="8" state="visible" r:id="rId9"/>
    <sheet name="Fixed Cost Sensitivity" sheetId="9" state="visible" r:id="rId10"/>
    <sheet name="Price &amp; Fixed Cost Sensitivity" sheetId="10" state="visible" r:id="rId11"/>
    <sheet name="Demand Thresholds" sheetId="11" state="visible" r:id="rId12"/>
    <sheet name="Demand Loss Annual Calculation" sheetId="12" state="visible" r:id="rId13"/>
    <sheet name="Model inputs" sheetId="13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<sst xmlns="http://schemas.openxmlformats.org/spreadsheetml/2006/main" count="389" uniqueCount="305">
  <si>
    <t xml:space="preserve">DisruptRadar — Reconciled Financial Model</t>
  </si>
  <si>
    <t xml:space="preserve">Snapshot</t>
  </si>
  <si>
    <t xml:space="preserve">Exported from the Base scenario on 12 October 2026; the Year 1 projection covers January–December 2027.</t>
  </si>
  <si>
    <t xml:space="preserve">Approved Plan</t>
  </si>
  <si>
    <t xml:space="preserve">Pro price: €99/month; 10 average domains × €3/domain/month; Base fixed costs: €500/month; opening cash: €20,000.</t>
  </si>
  <si>
    <t xml:space="preserve">Pessimistic</t>
  </si>
  <si>
    <t xml:space="preserve">Revenue: €8,000; costs: €6,000; EBITDA: €2,000. The monthly customer curve is missing; do not infer cost coverage from 12 customers at year-end.</t>
  </si>
  <si>
    <t xml:space="preserve">Base</t>
  </si>
  <si>
    <t xml:space="preserve">Revenue: €30,096; delivery costs: €9,120; fixed costs: €6,000; total costs: €15,120; EBITDA: €14,976; minimum monthly cash: €19,345; closing cash: €34,976.</t>
  </si>
  <si>
    <t xml:space="preserve">Conditional Optimistic Case</t>
  </si>
  <si>
    <t xml:space="preserve">Revenue: €80,000; costs: €24,000; EBITDA: €56,000. Requires an effective cost of €2.59875/domain/month with annual fixed costs of €3,000; the required 13.375% discount is unvalidated. Uses Pro-equivalent volumes, with no Enterprise mix.</t>
  </si>
  <si>
    <t xml:space="preserve">Gross Margins</t>
  </si>
  <si>
    <t xml:space="preserve">75% / 80% / 85% are independent assumptions that still need validation, not margins substantiated by delivery costs.</t>
  </si>
  <si>
    <t xml:space="preserve">Cash Coverage with Zero Revenue</t>
  </si>
  <si>
    <t xml:space="preserve">40 / 15.8730 / 10 months; opening cash divided by average monthly costs. This is not a forecast of when cash will run out.</t>
  </si>
  <si>
    <t xml:space="preserve">How to Use the Excel Simulator</t>
  </si>
  <si>
    <t xml:space="preserve">Edit the five yellow cells B5:B9. Demand loss is a percentage (10% = 0.10). Revenue and delivery costs fall with demand; fixed costs remain unchanged. This does not alter the native worksheets or the Model.</t>
  </si>
  <si>
    <t xml:space="preserve">Native Tables</t>
  </si>
  <si>
    <t xml:space="preserve">Native export of all visible tables on both pages in the Base scenario, including scenario comparisons, sensitivities and thresholds. Formulas and cross-worksheet links have been preserved.</t>
  </si>
  <si>
    <t xml:space="preserve">Canvas and Text</t>
  </si>
  <si>
    <t xml:space="preserve">The web simulator and narrative text are not included in the native export. This worksheet and the Excel Simulator were added to document the assumptions and enable local testing.</t>
  </si>
  <si>
    <t xml:space="preserve">Whole Customer-Month Break-Even</t>
  </si>
  <si>
    <t xml:space="preserve">With annual fixed costs of €6,000 and delivery costs of €30 per customer-month: whole customer-month minimums are 87 / 76 / 68 at prices of €99 / €109 / €119.</t>
  </si>
  <si>
    <t xml:space="preserve">Price Indifference</t>
  </si>
  <si>
    <t xml:space="preserve">At €109: 265.51899 customer-months and maximum demand loss of 12.65823%. At €119: 235.68539 customer-months and 22.47191%. Fixed costs and unit delivery costs are the same as in the Base case.</t>
  </si>
  <si>
    <t xml:space="preserve">Cash</t>
  </si>
  <si>
    <t xml:space="preserve">Collections and payments occur in the same month. Excludes VAT, taxes, additional charges, capital expenditure and debt. This is not an observed bank balance or evidence of actual costs.</t>
  </si>
  <si>
    <t xml:space="preserve">Demand</t>
  </si>
  <si>
    <t xml:space="preserve">304 customer-months is the sum of the Base customer curve. Demand loss is applied proportionally in every month; fractional quantities represent expected demand, not observed customer counts.</t>
  </si>
  <si>
    <t xml:space="preserve">Repository</t>
  </si>
  <si>
    <t xml:space="preserve">Authorised destination: public repository NUNRIBHAC/Neathack-Agent, main branch, docs/DisruptRadar_Modelo_Financeiro.xlsx. Public publication was authorised on 12 October 2026. Publication status is confirmed separately in the chat.</t>
  </si>
  <si>
    <t xml:space="preserve">Worksheet Index</t>
  </si>
  <si>
    <t xml:space="preserve">Read Me</t>
  </si>
  <si>
    <t xml:space="preserve">Excel Simulator</t>
  </si>
  <si>
    <t xml:space="preserve">DisruptRadar — Demand Loss, Price and Cash</t>
  </si>
  <si>
    <t xml:space="preserve">Scenario Matrix</t>
  </si>
  <si>
    <t xml:space="preserve">DisruptRadar Business Plan · DisruptRadar Scenario Matrix</t>
  </si>
  <si>
    <t xml:space="preserve">Year 1 Assumptions</t>
  </si>
  <si>
    <t xml:space="preserve">DisruptRadar Business Plan · DisruptRadar Assumptions — Year 1</t>
  </si>
  <si>
    <t xml:space="preserve">Usage-Based Delivery Costs</t>
  </si>
  <si>
    <t xml:space="preserve">DisruptRadar Business Plan · Usage-Based Delivery Costs — Pro Reference</t>
  </si>
  <si>
    <t xml:space="preserve">Base Projection Controls</t>
  </si>
  <si>
    <t xml:space="preserve">DisruptRadar — Monthly Projection · Base Projection Controls</t>
  </si>
  <si>
    <t xml:space="preserve">Base Monthly Projection</t>
  </si>
  <si>
    <t xml:space="preserve">DisruptRadar — Monthly Projection · Base Monthly Projection — Customers, Earnings and Cash</t>
  </si>
  <si>
    <t xml:space="preserve">Base Annual Reconciliation</t>
  </si>
  <si>
    <t xml:space="preserve">DisruptRadar — Monthly Projection · Base Annual Reconciliation with the Scenario Matrix</t>
  </si>
  <si>
    <t xml:space="preserve">Fixed Cost Sensitivity</t>
  </si>
  <si>
    <t xml:space="preserve">DisruptRadar — Monthly Projection · Base Sensitivity — Monthly Fixed Costs</t>
  </si>
  <si>
    <t xml:space="preserve">Price &amp; Fixed Cost Sensitivity</t>
  </si>
  <si>
    <t xml:space="preserve">DisruptRadar — Monthly Projection · Full Sensitivity — Pro Price and Fixed Costs</t>
  </si>
  <si>
    <t xml:space="preserve">Demand Thresholds</t>
  </si>
  <si>
    <t xml:space="preserve">DisruptRadar — Monthly Projection · Demand Thresholds — Price Indifference and Break-Even</t>
  </si>
  <si>
    <t xml:space="preserve">Demand Loss Annual Calculation</t>
  </si>
  <si>
    <t xml:space="preserve">DisruptRadar — Monthly Projection · Demand Loss Test — Annual Calculation</t>
  </si>
  <si>
    <t xml:space="preserve">Model inputs</t>
  </si>
  <si>
    <t xml:space="preserve">Local Excel test. Does not change the Model or the approved scenarios.</t>
  </si>
  <si>
    <t xml:space="preserve">Monthly Pro Price (EUR)</t>
  </si>
  <si>
    <t xml:space="preserve">Demand Loss</t>
  </si>
  <si>
    <t xml:space="preserve">Monthly Fixed Costs (EUR)</t>
  </si>
  <si>
    <t xml:space="preserve">Delivery Cost per Customer-Month (EUR)</t>
  </si>
  <si>
    <t xml:space="preserve">Opening Cash (EUR)</t>
  </si>
  <si>
    <t xml:space="preserve">Simulated Customer-Months</t>
  </si>
  <si>
    <t xml:space="preserve">Simulated Annual EBITDA (EUR)</t>
  </si>
  <si>
    <t xml:space="preserve">Minimum Monthly Cash (EUR)</t>
  </si>
  <si>
    <t xml:space="preserve">Closing Cash (EUR)</t>
  </si>
  <si>
    <t xml:space="preserve">EBITDA Difference vs Approved Base Case (EUR)</t>
  </si>
  <si>
    <t xml:space="preserve">Customer-Months to Match Base EBITDA</t>
  </si>
  <si>
    <t xml:space="preserve">Maximum Allowable Demand Loss</t>
  </si>
  <si>
    <t xml:space="preserve">Customer-Months for Absolute Break-Even</t>
  </si>
  <si>
    <t xml:space="preserve">Minimum Whole Customer-Months for Break-Even</t>
  </si>
  <si>
    <t xml:space="preserve">Assumption: proportional demand loss in every month; avoidable delivery costs follow customer volumes; fixed costs remain unchanged.</t>
  </si>
  <si>
    <t xml:space="preserve">Excludes taxes, capital expenditure, overage charges and collection delays. Fractional quantities represent expected demand.</t>
  </si>
  <si>
    <t xml:space="preserve">Metric</t>
  </si>
  <si>
    <t xml:space="preserve">Year / Closing Balance</t>
  </si>
  <si>
    <t xml:space="preserve">Base Month-End Customers</t>
  </si>
  <si>
    <t xml:space="preserve">Simulated Month-End Customers</t>
  </si>
  <si>
    <t xml:space="preserve">Simulated Revenue (EUR)</t>
  </si>
  <si>
    <t xml:space="preserve">Simulated Delivery Costs (EUR)</t>
  </si>
  <si>
    <t xml:space="preserve">Simulated Fixed Costs (EUR)</t>
  </si>
  <si>
    <t xml:space="preserve">Simulated EBITDA (EUR)</t>
  </si>
  <si>
    <t xml:space="preserve">Simulated Closing Cash (EUR)</t>
  </si>
  <si>
    <t xml:space="preserve">Approved Base Cash (EUR)</t>
  </si>
  <si>
    <t xml:space="preserve">Financial model (2 pages) · Base</t>
  </si>
  <si>
    <t xml:space="preserve">Variable / dimension</t>
  </si>
  <si>
    <t xml:space="preserve">Value</t>
  </si>
  <si>
    <t xml:space="preserve">Value &gt; Pessimistic</t>
  </si>
  <si>
    <t xml:space="preserve">Value &gt; Optimistic</t>
  </si>
  <si>
    <t xml:space="preserve">Subscribers (Year-End)</t>
  </si>
  <si>
    <t xml:space="preserve">Annual Revenue (EUR)</t>
  </si>
  <si>
    <t xml:space="preserve">Annual Costs (EUR)</t>
  </si>
  <si>
    <t xml:space="preserve">EBITDA (EUR)</t>
  </si>
  <si>
    <t xml:space="preserve">Gross Margin</t>
  </si>
  <si>
    <t xml:space="preserve">Cash Coverage with Zero Revenue (Months)</t>
  </si>
  <si>
    <t xml:space="preserve">Proposed Monthly Enterprise Price (EUR)</t>
  </si>
  <si>
    <t xml:space="preserve">Minimum Addressable Market (Accounts)</t>
  </si>
  <si>
    <t xml:space="preserve">Maximum Addressable Market (Accounts)</t>
  </si>
  <si>
    <t xml:space="preserve">Variable Cost per Domain per Month — Estimate (EUR)</t>
  </si>
  <si>
    <t xml:space="preserve">Pro Margin after Variable Costs — One Domain per Subscriber</t>
  </si>
  <si>
    <t xml:space="preserve">Domains Included in the Pro Plan</t>
  </si>
  <si>
    <t xml:space="preserve">Average Domains per Pro Customer — Assumption</t>
  </si>
  <si>
    <t xml:space="preserve">Monthly Delivery Cost per Pro Customer (EUR)</t>
  </si>
  <si>
    <t xml:space="preserve">Pro Contribution Margin — Average Usage</t>
  </si>
  <si>
    <t xml:space="preserve">Domains Monitored at Year-End — Pro Reference</t>
  </si>
  <si>
    <t xml:space="preserve">Monthly Delivery Costs at Year-End — Pro Reference (EUR)</t>
  </si>
  <si>
    <t xml:space="preserve">Annual Fixed Costs for the Base Projection (EUR)</t>
  </si>
  <si>
    <t xml:space="preserve">Base Projection Start Date</t>
  </si>
  <si>
    <t xml:space="preserve">2027-01</t>
  </si>
  <si>
    <t xml:space="preserve">2027-02</t>
  </si>
  <si>
    <t xml:space="preserve">2027-03</t>
  </si>
  <si>
    <t xml:space="preserve">2027-04</t>
  </si>
  <si>
    <t xml:space="preserve">2027-05</t>
  </si>
  <si>
    <t xml:space="preserve">2027-06</t>
  </si>
  <si>
    <t xml:space="preserve">2027-07</t>
  </si>
  <si>
    <t xml:space="preserve">2027-08</t>
  </si>
  <si>
    <t xml:space="preserve">2027-09</t>
  </si>
  <si>
    <t xml:space="preserve">2027-10</t>
  </si>
  <si>
    <t xml:space="preserve">2027-11</t>
  </si>
  <si>
    <t xml:space="preserve">2027-12</t>
  </si>
  <si>
    <t xml:space="preserve">Month-End Customers — Base Projection</t>
  </si>
  <si>
    <t xml:space="preserve">Monthly Revenue — Base Projection (EUR)</t>
  </si>
  <si>
    <t xml:space="preserve">Monthly Delivery Costs — Base Projection (EUR)</t>
  </si>
  <si>
    <t xml:space="preserve">Monthly Fixed Costs — Base Projection (EUR)</t>
  </si>
  <si>
    <t xml:space="preserve">Total Monthly Costs — Base Projection (EUR)</t>
  </si>
  <si>
    <t xml:space="preserve">Monthly EBITDA — Base Projection (EUR)</t>
  </si>
  <si>
    <t xml:space="preserve">Opening Monthly Cash — Base Projection (EUR)</t>
  </si>
  <si>
    <t xml:space="preserve">Closing Cash — Base Projection (EUR)</t>
  </si>
  <si>
    <t xml:space="preserve">Cumulative Cash Movement — Base Projection (EUR)</t>
  </si>
  <si>
    <t xml:space="preserve">Cash Reconciliation Check — Base Projection (EUR)</t>
  </si>
  <si>
    <t xml:space="preserve">Customer-Months — Base Projection</t>
  </si>
  <si>
    <t xml:space="preserve">Annual Revenue — Base Projection (EUR)</t>
  </si>
  <si>
    <t xml:space="preserve">Annual Delivery Costs — Base Projection (EUR)</t>
  </si>
  <si>
    <t xml:space="preserve">Calculated Annual Fixed Costs — Base Projection (EUR)</t>
  </si>
  <si>
    <t xml:space="preserve">Annual Costs — Base Projection (EUR)</t>
  </si>
  <si>
    <t xml:space="preserve">Annual EBITDA — Base Projection (EUR)</t>
  </si>
  <si>
    <t xml:space="preserve">Minimum Cash — Base Projection (EUR)</t>
  </si>
  <si>
    <t xml:space="preserve">Year-End Cash — Base Projection (EUR)</t>
  </si>
  <si>
    <t xml:space="preserve">Revenue Difference vs Base Scenario Matrix (EUR)</t>
  </si>
  <si>
    <t xml:space="preserve">Cost Difference vs Base Scenario Matrix (EUR)</t>
  </si>
  <si>
    <t xml:space="preserve">EBITDA Difference vs Base Scenario Matrix (EUR)</t>
  </si>
  <si>
    <t xml:space="preserve">Value &gt; Base — Fixed Costs €300/Month</t>
  </si>
  <si>
    <t xml:space="preserve">Value &gt; Base — Fixed Costs €400/Month</t>
  </si>
  <si>
    <t xml:space="preserve">Value &gt; Base — Fixed Costs €500/Month</t>
  </si>
  <si>
    <t xml:space="preserve">Value &gt; Pro Price Test €109 — Fixed Costs €300/Month</t>
  </si>
  <si>
    <t xml:space="preserve">Value &gt; Pro Price Test €109 — Fixed Costs €400/Month</t>
  </si>
  <si>
    <t xml:space="preserve">Value &gt; Pro Price Test €109 — Fixed Costs €500/Month</t>
  </si>
  <si>
    <t xml:space="preserve">Value &gt; Pro Price Test €119 — Fixed Costs €300/Month</t>
  </si>
  <si>
    <t xml:space="preserve">Value &gt; Pro Price Test €119 — Fixed Costs €400/Month</t>
  </si>
  <si>
    <t xml:space="preserve">Value &gt; Pro Price Test €119 — Fixed Costs €500/Month</t>
  </si>
  <si>
    <t xml:space="preserve">Reference Price for Price Indifference (EUR)</t>
  </si>
  <si>
    <t xml:space="preserve">Reference Monthly Fixed Costs for Thresholds (EUR)</t>
  </si>
  <si>
    <t xml:space="preserve">Delivery Cost per Customer-Month — Thresholds (EUR)</t>
  </si>
  <si>
    <t xml:space="preserve">Contribution per Customer-Month at Reference Price (EUR)</t>
  </si>
  <si>
    <t xml:space="preserve">Contribution per Customer-Month at Tested Price (EUR)</t>
  </si>
  <si>
    <t xml:space="preserve">Reference Customer-Months for Thresholds</t>
  </si>
  <si>
    <t xml:space="preserve">Reference EBITDA for Thresholds (EUR)</t>
  </si>
  <si>
    <t xml:space="preserve">Minimum Customer-Months to Match Reference EBITDA</t>
  </si>
  <si>
    <t xml:space="preserve">Whole Customer-Months to Match Reference EBITDA</t>
  </si>
  <si>
    <t xml:space="preserve">Maximum Demand Loss vs Reference</t>
  </si>
  <si>
    <t xml:space="preserve">Whole Customer-Months for Absolute Break-Even</t>
  </si>
  <si>
    <t xml:space="preserve">Break-Even as a Share of Reference Demand</t>
  </si>
  <si>
    <t xml:space="preserve">EBITDA Check at the Price Indifference Point (EUR)</t>
  </si>
  <si>
    <t xml:space="preserve">Demand Loss Assumption for the Test</t>
  </si>
  <si>
    <t xml:space="preserve">Customer-Months after Demand Loss</t>
  </si>
  <si>
    <t xml:space="preserve">Annual Revenue after Demand Loss (EUR)</t>
  </si>
  <si>
    <t xml:space="preserve">Annual Delivery Costs after Demand Loss (EUR)</t>
  </si>
  <si>
    <t xml:space="preserve">Annual EBITDA after Demand Loss (EUR)</t>
  </si>
  <si>
    <t xml:space="preserve">Year-End Cash after Demand Loss (EUR)</t>
  </si>
  <si>
    <t xml:space="preserve">EBITDA Difference after Demand Loss vs Reference (EUR)</t>
  </si>
  <si>
    <t xml:space="preserve">Integration values are aggregated snapshots; raw source records are not included.</t>
  </si>
  <si>
    <t xml:space="preserve">Variables</t>
  </si>
  <si>
    <t xml:space="preserve">Variable / segment</t>
  </si>
  <si>
    <t xml:space="preserve">2026-12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</si>
  <si>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</si>
  <si>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</si>
  <si>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</si>
  <si>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</si>
  <si>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</si>
  <si>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</si>
  <si>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</si>
  <si>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</si>
  <si>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</si>
  <si>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</si>
  <si>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</si>
  <si>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Closing Cash — Base Projection (EUR) · DisruptRadar — Monthly Projection · Base Monthly Projection — Customers, Earnings and Cash · Base</t>
  </si>
  <si>
    <t xml:space="preserve">Closing Cash — Base Projection (EUR) · DisruptRadar — Monthly Projection · Base Annual Reconciliation with the Scenario Matrix · Base</t>
  </si>
  <si>
    <t xml:space="preserve">Closing Cash — Base Projection (EUR) · Base — Fixed Costs €400/Month</t>
  </si>
  <si>
    <t xml:space="preserve">Closing Cash — Base Projection (EUR) · Base — Fixed Costs €300/Month</t>
  </si>
  <si>
    <t xml:space="preserve">Closing Cash — Base Projection (EUR) · Base — Fixed Costs €500/Month</t>
  </si>
  <si>
    <t xml:space="preserve">Opening Cash (EUR) · DisruptRadar Business Plan · DisruptRadar Scenario Matrix · Base</t>
  </si>
  <si>
    <t xml:space="preserve">Opening Cash (EUR) · DisruptRadar — Monthly Projection · Base Monthly Projection — Customers, Earnings and Cash · Base</t>
  </si>
  <si>
    <t xml:space="preserve">Opening Cash (EUR) · Pessimistic</t>
  </si>
  <si>
    <t xml:space="preserve">Opening Cash (EUR) · Optimistic</t>
  </si>
  <si>
    <t xml:space="preserve">Opening Monthly Cash — Base Projection (EUR) · DisruptRadar — Monthly Projection · Base Monthly Projection — Customers, Earnings and Cash</t>
  </si>
  <si>
    <t xml:space="preserve">Month-End Customers — Base Projection · DisruptRadar — Monthly Projection · Base Monthly Projection — Customers, Earnings and Cash · Base</t>
  </si>
  <si>
    <t xml:space="preserve">Month-End Customers — Base Projection · DisruptRadar — Monthly Projection · Full Sensitivity — Pro Price and Fixed Costs · Pro Price Test €109 — Fixed Costs €500/Month</t>
  </si>
  <si>
    <t xml:space="preserve">Month-End Customers — Base Projection · Base — Fixed Costs €400/Month</t>
  </si>
  <si>
    <t xml:space="preserve">Month-End Customers — Base Projection · Pro Price Test €109 — Fixed Costs €400/Month</t>
  </si>
  <si>
    <t xml:space="preserve">Month-End Customers — Base Projection · Base — Fixed Costs €300/Month</t>
  </si>
  <si>
    <t xml:space="preserve">Month-End Customers — Base Projection · DisruptRadar — Monthly Projection · Full Sensitivity — Pro Price and Fixed Costs · Pro Price Test €119 — Fixed Costs €500/Month</t>
  </si>
  <si>
    <t xml:space="preserve">Month-End Customers — Base Projection · Pro Price Test €119 — Fixed Costs €400/Month</t>
  </si>
  <si>
    <t xml:space="preserve">Month-End Customers — Base Projection · Pro Price Test €109 — Fixed Costs €300/Month</t>
  </si>
  <si>
    <t xml:space="preserve">Month-End Customers — Base Projection · Pro Price Test €119 — Fixed Costs €300/Month</t>
  </si>
  <si>
    <t xml:space="preserve">Variable Cost per Domain per Month — Estimate (EUR) · DisruptRadar Business Plan · DisruptRadar Assumptions — Year 1 · Base</t>
  </si>
  <si>
    <t xml:space="preserve">Variable Cost per Domain per Month — Estimate (EUR) · DisruptRadar — Monthly Projection · Base Monthly Projection — Customers, Earnings and Cash · Base</t>
  </si>
  <si>
    <t xml:space="preserve">Variable Cost per Domain per Month — Estimate (EUR) · Pro Price Test €109 — Fixed Costs €500/Month</t>
  </si>
  <si>
    <t xml:space="preserve">Variable Cost per Domain per Month — Estimate (EUR) · Pessimistic</t>
  </si>
  <si>
    <t xml:space="preserve">Variable Cost per Domain per Month — Estimate (EUR) · Optimistic</t>
  </si>
  <si>
    <t xml:space="preserve">Variable Cost per Domain per Month — Estimate (EUR) · Pro Price Test €119 — Fixed Costs €500/Month</t>
  </si>
  <si>
    <t xml:space="preserve">Total Monthly Costs — Base Projection (EUR) · DisruptRadar — Monthly Projection · Base Monthly Projection — Customers, Earnings and Cash · Base</t>
  </si>
  <si>
    <t xml:space="preserve">Total Monthly Costs — Base Projection (EUR) · Base — Fixed Costs €400/Month</t>
  </si>
  <si>
    <t xml:space="preserve">Total Monthly Costs — Base Projection (EUR) · Base — Fixed Costs €300/Month</t>
  </si>
  <si>
    <t xml:space="preserve">Total Monthly Costs — Base Projection (EUR) · Base — Fixed Costs €500/Month</t>
  </si>
  <si>
    <t xml:space="preserve">Average Domains per Pro Customer — Assumption · DisruptRadar Business Plan · DisruptRadar Assumptions — Year 1 · Base</t>
  </si>
  <si>
    <t xml:space="preserve">Average Domains per Pro Customer — Assumption · DisruptRadar — Monthly Projection · Base Monthly Projection — Customers, Earnings and Cash · Base</t>
  </si>
  <si>
    <t xml:space="preserve">Average Domains per Pro Customer — Assumption · Pro Price Test €109 — Fixed Costs €500/Month</t>
  </si>
  <si>
    <t xml:space="preserve">Average Domains per Pro Customer — Assumption · Pessimistic</t>
  </si>
  <si>
    <t xml:space="preserve">Average Domains per Pro Customer — Assumption · Optimistic</t>
  </si>
  <si>
    <t xml:space="preserve">Average Domains per Pro Customer — Assumption · Pro Price Test €119 — Fixed Costs €500/Month</t>
  </si>
  <si>
    <t xml:space="preserve">Monthly EBITDA — Base Projection (EUR) · DisruptRadar — Monthly Projection · Base Monthly Projection — Customers, Earnings and Cash · Base</t>
  </si>
  <si>
    <t xml:space="preserve">Monthly EBITDA — Base Projection (EUR) · Pro Price Test €109 — Fixed Costs €500/Month</t>
  </si>
  <si>
    <t xml:space="preserve">Monthly EBITDA — Base Projection (EUR) · Base — Fixed Costs €400/Month</t>
  </si>
  <si>
    <t xml:space="preserve">Monthly EBITDA — Base Projection (EUR) · Pro Price Test €109 — Fixed Costs €400/Month</t>
  </si>
  <si>
    <t xml:space="preserve">Monthly EBITDA — Base Projection (EUR) · Base — Fixed Costs €300/Month</t>
  </si>
  <si>
    <t xml:space="preserve">Monthly EBITDA — Base Projection (EUR) · Pro Price Test €119 — Fixed Costs €500/Month</t>
  </si>
  <si>
    <t xml:space="preserve">Monthly EBITDA — Base Projection (EUR) · Pro Price Test €119 — Fixed Costs €400/Month</t>
  </si>
  <si>
    <t xml:space="preserve">Monthly EBITDA — Base Projection (EUR) · Base — Fixed Costs €500/Month</t>
  </si>
  <si>
    <t xml:space="preserve">Monthly EBITDA — Base Projection (EUR) · Pro Price Test €109 — Fixed Costs €300/Month</t>
  </si>
  <si>
    <t xml:space="preserve">Monthly EBITDA — Base Projection (EUR) · Pro Price Test €119 — Fixed Costs €300/Month</t>
  </si>
  <si>
    <t xml:space="preserve">Monthly Delivery Costs — Base Projection (EUR) · DisruptRadar — Monthly Projection · Base Monthly Projection — Customers, Earnings and Cash · Base</t>
  </si>
  <si>
    <t xml:space="preserve">Monthly Delivery Costs — Base Projection (EUR) · Pro Price Test €109 — Fixed Costs €500/Month</t>
  </si>
  <si>
    <t xml:space="preserve">Monthly Delivery Costs — Base Projection (EUR) · Base — Fixed Costs €400/Month</t>
  </si>
  <si>
    <t xml:space="preserve">Monthly Delivery Costs — Base Projection (EUR) · Pro Price Test €109 — Fixed Costs €400/Month</t>
  </si>
  <si>
    <t xml:space="preserve">Monthly Delivery Costs — Base Projection (EUR) · Base — Fixed Costs €300/Month</t>
  </si>
  <si>
    <t xml:space="preserve">Monthly Delivery Costs — Base Projection (EUR) · Pro Price Test €119 — Fixed Costs €500/Month</t>
  </si>
  <si>
    <t xml:space="preserve">Monthly Delivery Costs — Base Projection (EUR) · Pro Price Test €119 — Fixed Costs €400/Month</t>
  </si>
  <si>
    <t xml:space="preserve">Monthly Delivery Costs — Base Projection (EUR) · Pro Price Test €109 — Fixed Costs €300/Month</t>
  </si>
  <si>
    <t xml:space="preserve">Monthly Delivery Costs — Base Projection (EUR) · Pro Price Test €119 — Fixed Costs €300/Month</t>
  </si>
  <si>
    <t xml:space="preserve">Annual Fixed Costs for the Base Projection (EUR) · DisruptRadar — Monthly Projection · Base Monthly Projection — Customers, Earnings and Cash</t>
  </si>
  <si>
    <t xml:space="preserve">Annual Fixed Costs for the Base Projection (EUR) · DisruptRadar — Monthly Projection · Base Annual Reconciliation with the Scenario Matrix</t>
  </si>
  <si>
    <t xml:space="preserve">Monthly Fixed Costs — Base Projection (EUR) · DisruptRadar — Monthly Projection · Base Monthly Projection — Customers, Earnings and Cash</t>
  </si>
  <si>
    <t xml:space="preserve">Base Projection Start Date · DisruptRadar — Monthly Projection · Base Monthly Projection — Customers, Earnings and Cash</t>
  </si>
  <si>
    <t xml:space="preserve">Monthly Pro Price (EUR) · DisruptRadar Business Plan · DisruptRadar Assumptions — Year 1</t>
  </si>
  <si>
    <t xml:space="preserve">Monthly Pro Price (EUR) · DisruptRadar — Monthly Projection · Base Monthly Projection — Customers, Earnings and Cash</t>
  </si>
  <si>
    <t xml:space="preserve">Monthly Revenue — Base Projection (EUR) · DisruptRadar — Monthly Projection · Base Monthly Projection — Customers, Earnings and Cash · Base</t>
  </si>
  <si>
    <t xml:space="preserve">Monthly Revenue — Base Projection (EUR) · Pro Price Test €109 — Fixed Costs €500/Month</t>
  </si>
  <si>
    <t xml:space="preserve">Monthly Revenue — Base Projection (EUR) · Base — Fixed Costs €400/Month</t>
  </si>
  <si>
    <t xml:space="preserve">Monthly Revenue — Base Projection (EUR) · Pro Price Test €109 — Fixed Costs €400/Month</t>
  </si>
  <si>
    <t xml:space="preserve">Monthly Revenue — Base Projection (EUR) · Base — Fixed Costs €300/Month</t>
  </si>
  <si>
    <t xml:space="preserve">Monthly Revenue — Base Projection (EUR) · Pro Price Test €119 — Fixed Costs €500/Month</t>
  </si>
  <si>
    <t xml:space="preserve">Monthly Revenue — Base Projection (EUR) · Pro Price Test €119 — Fixed Costs €400/Month</t>
  </si>
  <si>
    <t xml:space="preserve">Monthly Revenue — Base Projection (EUR) · Pro Price Test €109 — Fixed Costs €300/Month</t>
  </si>
  <si>
    <t xml:space="preserve">Monthly Revenue — Base Projection (EUR) · Pro Price Test €119 — Fixed Costs €300/Month</t>
  </si>
  <si>
    <t xml:space="preserve">Opening Monthly Cash — Base Projection (EUR) · Closing Cash — Base Projection (EUR) · DisruptRadar — Monthly Projection · Base Monthly Projection — Customers, Earnings and Cash · Base · Base</t>
  </si>
  <si>
    <t xml:space="preserve">Opening Monthly Cash — Base Projection (EUR) · Closing Cash — Base Projection (EUR) · Base — Fixed Costs €400/Month · Base — Fixed Costs €400/Month</t>
  </si>
  <si>
    <t xml:space="preserve">Opening Monthly Cash — Base Projection (EUR) · Closing Cash — Base Projection (EUR) · Base — Fixed Costs €300/Month · Base — Fixed Costs €300/Month</t>
  </si>
  <si>
    <t xml:space="preserve">Opening Monthly Cash — Base Projection (EUR) · Closing Cash — Base Projection (EUR) · Base — Fixed Costs €500/Month · Base — Fixed Costs €500/Month</t>
  </si>
  <si>
    <t xml:space="preserve">Variable Cost per Domain per Month — Estimate (EUR) · Monthly Delivery Costs — Base Projection (EUR) · Pro Price Test €109 — Fixed Costs €500/Month · Pro Price Test €109 — Fixed Costs €500/Month</t>
  </si>
  <si>
    <t xml:space="preserve">Variable Cost per Domain per Month — Estimate (EUR) · Monthly Delivery Costs — Base Projection (EUR) · Base — Fixed Costs €400/Month · Base — Fixed Costs €400/Month</t>
  </si>
  <si>
    <t xml:space="preserve">Variable Cost per Domain per Month — Estimate (EUR) · Monthly Delivery Costs — Base Projection (EUR) · Pro Price Test €109 — Fixed Costs €400/Month · Pro Price Test €109 — Fixed Costs €400/Month</t>
  </si>
  <si>
    <t xml:space="preserve">Variable Cost per Domain per Month — Estimate (EUR) · Monthly Delivery Costs — Base Projection (EUR) · Base — Fixed Costs €300/Month · Base — Fixed Costs €300/Month</t>
  </si>
  <si>
    <t xml:space="preserve">Variable Cost per Domain per Month — Estimate (EUR) · Monthly Delivery Costs — Base Projection (EUR) · Pro Price Test €119 — Fixed Costs €500/Month · Pro Price Test €119 — Fixed Costs €500/Month</t>
  </si>
  <si>
    <t xml:space="preserve">Variable Cost per Domain per Month — Estimate (EUR) · Monthly Delivery Costs — Base Projection (EUR) · Pro Price Test €119 — Fixed Costs €400/Month · Pro Price Test €119 — Fixed Costs €400/Month</t>
  </si>
  <si>
    <t xml:space="preserve">Variable Cost per Domain per Month — Estimate (EUR) · Monthly Delivery Costs — Base Projection (EUR) · Pro Price Test €109 — Fixed Costs €300/Month · Pro Price Test €109 — Fixed Costs €300/Month</t>
  </si>
  <si>
    <t xml:space="preserve">Variable Cost per Domain per Month — Estimate (EUR) · Monthly Delivery Costs — Base Projection (EUR) · Pro Price Test €119 — Fixed Costs €300/Month · Pro Price Test €119 — Fixed Costs €300/Month</t>
  </si>
  <si>
    <t xml:space="preserve">Total Monthly Costs — Base Projection (EUR) · Monthly EBITDA — Base Projection (EUR) · Pro Price Test €109 — Fixed Costs €500/Month · Pro Price Test €109 — Fixed Costs €500/Month</t>
  </si>
  <si>
    <t xml:space="preserve">Total Monthly Costs — Base Projection (EUR) · Monthly EBITDA — Base Projection (EUR) · Pro Price Test €109 — Fixed Costs €400/Month · Pro Price Test €109 — Fixed Costs €400/Month</t>
  </si>
  <si>
    <t xml:space="preserve">Total Monthly Costs — Base Projection (EUR) · Monthly EBITDA — Base Projection (EUR) · Pro Price Test €119 — Fixed Costs €500/Month · Pro Price Test €119 — Fixed Costs €500/Month</t>
  </si>
  <si>
    <t xml:space="preserve">Total Monthly Costs — Base Projection (EUR) · Monthly EBITDA — Base Projection (EUR) · Pro Price Test €119 — Fixed Costs €400/Month · Pro Price Test €119 — Fixed Costs €400/Month</t>
  </si>
  <si>
    <t xml:space="preserve">Total Monthly Costs — Base Projection (EUR) · Monthly EBITDA — Base Projection (EUR) · Pro Price Test €109 — Fixed Costs €300/Month · Pro Price Test €109 — Fixed Costs €300/Month</t>
  </si>
  <si>
    <t xml:space="preserve">Total Monthly Costs — Base Projection (EUR) · Monthly EBITDA — Base Projection (EUR) · Pro Price Test €119 — Fixed Costs €300/Month · Pro Price Test €119 — Fixed Costs €300/Month</t>
  </si>
  <si>
    <t xml:space="preserve">Average Domains per Pro Customer — Assumption · Monthly Delivery Costs — Base Projection (EUR) · Pro Price Test €109 — Fixed Costs €500/Month · Pro Price Test €109 — Fixed Costs €500/Month</t>
  </si>
  <si>
    <t xml:space="preserve">Average Domains per Pro Customer — Assumption · Monthly Delivery Costs — Base Projection (EUR) · Base — Fixed Costs €400/Month · Base — Fixed Costs €400/Month</t>
  </si>
  <si>
    <t xml:space="preserve">Average Domains per Pro Customer — Assumption · Monthly Delivery Costs — Base Projection (EUR) · Pro Price Test €109 — Fixed Costs €400/Month · Pro Price Test €109 — Fixed Costs €400/Month</t>
  </si>
  <si>
    <t xml:space="preserve">Average Domains per Pro Customer — Assumption · Monthly Delivery Costs — Base Projection (EUR) · Base — Fixed Costs €300/Month · Base — Fixed Costs €300/Month</t>
  </si>
  <si>
    <t xml:space="preserve">Average Domains per Pro Customer — Assumption · Monthly Delivery Costs — Base Projection (EUR) · Pro Price Test €119 — Fixed Costs €500/Month · Pro Price Test €119 — Fixed Costs €500/Month</t>
  </si>
  <si>
    <t xml:space="preserve">Average Domains per Pro Customer — Assumption · Monthly Delivery Costs — Base Projection (EUR) · Pro Price Test €119 — Fixed Costs €400/Month · Pro Price Test €119 — Fixed Costs €400/Month</t>
  </si>
  <si>
    <t xml:space="preserve">Average Domains per Pro Customer — Assumption · Monthly Delivery Costs — Base Projection (EUR) · Pro Price Test €109 — Fixed Costs €300/Month · Pro Price Test €109 — Fixed Costs €300/Month</t>
  </si>
  <si>
    <t xml:space="preserve">Average Domains per Pro Customer — Assumption · Monthly Delivery Costs — Base Projection (EUR) · Pro Price Test €119 — Fixed Costs €300/Month · Pro Price Test €119 — Fixed Costs €300/Month</t>
  </si>
  <si>
    <t xml:space="preserve">Monthly Delivery Costs — Base Projection (EUR) · Closing Cash — Base Projection (EUR) · Base — Fixed Costs €500/Month · Base — Fixed Costs €500/Month</t>
  </si>
  <si>
    <t xml:space="preserve">Monthly Fixed Costs — Base Projection (EUR) · Closing Cash — Base Projection (EUR) · Base — Fixed Costs €400/Month · Base — Fixed Costs €400/Month</t>
  </si>
  <si>
    <t xml:space="preserve">Monthly Fixed Costs — Base Projection (EUR) · Closing Cash — Base Projection (EUR) · Base — Fixed Costs €300/Month · Base — Fixed Costs €300/Month</t>
  </si>
  <si>
    <t xml:space="preserve">Monthly Fixed Costs — Base Projection (EUR) · Closing Cash — Base Projection (EUR) · Base — Fixed Costs €500/Month · Base — Fixed Costs €500/Month</t>
  </si>
  <si>
    <t xml:space="preserve">Monthly Revenue — Base Projection (EUR) · Closing Cash — Base Projection (EUR) · Base — Fixed Costs €500/Month · Base — Fixed Costs €500/Month</t>
  </si>
  <si>
    <t xml:space="preserve">Opening Cash (EUR) · Opening Monthly Cash — Base Projection (EUR) · Closing Cash — Base Projection (EUR) · Base — Fixed Costs €400/Month · Base — Fixed Costs €400/Month · Base — Fixed Costs €400/Month</t>
  </si>
  <si>
    <t xml:space="preserve">Opening Cash (EUR) · Opening Monthly Cash — Base Projection (EUR) · Closing Cash — Base Projection (EUR) · Base — Fixed Costs €300/Month · Base — Fixed Costs €300/Month · Base — Fixed Costs €300/Month</t>
  </si>
  <si>
    <t xml:space="preserve">Opening Cash (EUR) · Opening Monthly Cash — Base Projection (EUR) · Closing Cash — Base Projection (EUR) · Base — Fixed Costs €500/Month · Base — Fixed Costs €500/Month · Base — Fixed Costs €500/Month</t>
  </si>
  <si>
    <t xml:space="preserve">Month-End Customers — Base Projection · Total Monthly Costs — Base Projection (EUR) · Base — Fixed Costs €500/Month · Base — Fixed Costs €500/Month</t>
  </si>
  <si>
    <t xml:space="preserve">Variable Cost per Domain per Month — Estimate (EUR) · Monthly Delivery Costs — Base Projection (EUR) · Closing Cash — Base Projection (EUR) · Base — Fixed Costs €500/Month · Base — Fixed Costs €500/Month · Base — Fixed Costs €500/Month</t>
  </si>
  <si>
    <t xml:space="preserve">Average Domains per Pro Customer — Assumption · Monthly Delivery Costs — Base Projection (EUR) · Closing Cash — Base Projection (EUR) · Base — Fixed Costs €500/Month · Base — Fixed Costs €500/Month · Base — Fixed Costs €500/Month</t>
  </si>
  <si>
    <t xml:space="preserve">Annual Fixed Costs for the Base Projection (EUR) · Monthly Fixed Costs — Base Projection (EUR) · Closing Cash — Base Projection (EUR) · Base — Fixed Costs €400/Month · Base — Fixed Costs €400/Month · Base — Fixed Costs €400/Month</t>
  </si>
  <si>
    <t xml:space="preserve">Annual Fixed Costs for the Base Projection (EUR) · Monthly Fixed Costs — Base Projection (EUR) · Closing Cash — Base Projection (EUR) · Base — Fixed Costs €300/Month · Base — Fixed Costs €300/Month · Base — Fixed Costs €300/Month</t>
  </si>
  <si>
    <t xml:space="preserve">Annual Fixed Costs for the Base Projection (EUR) · Monthly Fixed Costs — Base Projection (EUR) · Closing Cash — Base Projection (EUR) · Base — Fixed Costs €500/Month · Base — Fixed Costs €500/Month · Base — Fixed Costs €500/Month</t>
  </si>
  <si>
    <t xml:space="preserve">Monthly Fixed Costs — Base Projection (EUR) · Monthly EBITDA — Base Projection (EUR) · Pro Price Test €109 — Fixed Costs €500/Month · Pro Price Test €109 — Fixed Costs €500/Month</t>
  </si>
  <si>
    <t xml:space="preserve">Monthly Fixed Costs — Base Projection (EUR) · Monthly EBITDA — Base Projection (EUR) · Pro Price Test €109 — Fixed Costs €400/Month · Pro Price Test €109 — Fixed Costs €400/Month</t>
  </si>
  <si>
    <t xml:space="preserve">Monthly Fixed Costs — Base Projection (EUR) · Monthly EBITDA — Base Projection (EUR) · Pro Price Test €119 — Fixed Costs €500/Month · Pro Price Test €119 — Fixed Costs €500/Month</t>
  </si>
  <si>
    <t xml:space="preserve">Monthly Fixed Costs — Base Projection (EUR) · Monthly EBITDA — Base Projection (EUR) · Pro Price Test €119 — Fixed Costs €400/Month · Pro Price Test €119 — Fixed Costs €400/Month</t>
  </si>
  <si>
    <t xml:space="preserve">Monthly Fixed Costs — Base Projection (EUR) · Monthly EBITDA — Base Projection (EUR) · Pro Price Test €109 — Fixed Costs €300/Month · Pro Price Test €109 — Fixed Costs €300/Month</t>
  </si>
  <si>
    <t xml:space="preserve">Monthly Fixed Costs — Base Projection (EUR) · Monthly EBITDA — Base Projection (EUR) · Pro Price Test €119 — Fixed Costs €300/Month · Pro Price Test €119 — Fixed Costs €300/Month</t>
  </si>
  <si>
    <t xml:space="preserve">Base Projection Start Date · Opening Monthly Cash — Base Projection (EUR) · Closing Cash — Base Projection (EUR) · Base — Fixed Costs €400/Month · Base — Fixed Costs €400/Month · Base — Fixed Costs €400/Month</t>
  </si>
  <si>
    <t xml:space="preserve">Base Projection Start Date · Opening Monthly Cash — Base Projection (EUR) · Closing Cash — Base Projection (EUR) · Base — Fixed Costs €300/Month · Base — Fixed Costs €300/Month · Base — Fixed Costs €300/Month</t>
  </si>
  <si>
    <t xml:space="preserve">Base Projection Start Date · Opening Monthly Cash — Base Projection (EUR) · Closing Cash — Base Projection (EUR) · Base — Fixed Costs €500/Month · Base — Fixed Costs €500/Month · Base — Fixed Costs €500/Month</t>
  </si>
  <si>
    <t xml:space="preserve">Monthly Pro Price (EUR) · Monthly Revenue — Base Projection (EUR) · Base — Fixed Costs €400/Month · Base — Fixed Costs €400/Month</t>
  </si>
  <si>
    <t xml:space="preserve">Monthly Pro Price (EUR) · Monthly Revenue — Base Projection (EUR) · Base — Fixed Costs €300/Month · Base — Fixed Costs €300/Month</t>
  </si>
  <si>
    <t xml:space="preserve">Monthly Pro Price (EUR) · Monthly Revenue — Base Projection (EUR) · Closing Cash — Base Projection (EUR) · Base — Fixed Costs €500/Month · Base — Fixed Costs €500/Month · Base — Fixed Costs €500/Month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</si>
</sst>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.00&quot; €&quot;"/>
    <numFmt numFmtId="166" formatCode="0.00%"/>
    <numFmt numFmtId="167" formatCode="#,##0.00"/>
    <numFmt numFmtId="168" formatCode="mmm\-yy"/>
    <numFmt numFmtId="169" formatCode="#,##0.###;\(#,##0.###\)"/>
    <numFmt numFmtId="170" formatCode="&quot;EUR &quot;#,##0;&quot;(EUR &quot;#,##0\)"/>
    <numFmt numFmtId="171" formatCode="\$#,##0.00;&quot;($&quot;#,##0.00\)"/>
    <numFmt numFmtId="172" formatCode="0.0%"/>
    <numFmt numFmtId="173" formatCode="#,##0;\(#,##0\)"/>
    <numFmt numFmtId="174" formatCode="#,##0.0;\(#,##0.0\)"/>
    <numFmt numFmtId="175" formatCode="\$#,##0;&quot;($&quot;#,##0\)"/>
    <numFmt numFmtId="176" formatCode="yyyy\-mm\-dd"/>
    <numFmt numFmtId="177" formatCode="&quot;EUR &quot;#,##0.00;&quot;(EUR &quot;#,##0.00\)"/>
    <numFmt numFmtId="178" formatCode="#,##0.00;\(#,##0.00\)"/>
  </numFmts>
  <fonts count="13">
    <font>
      <sz val="10"/>
      <color rgb="FF352F29"/>
      <name val="Apto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sz val="12"/>
      <color rgb="FF0000FF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FFFFFF"/>
      <name val="Aptos"/>
      <family val="0"/>
      <charset val="1"/>
    </font>
    <font>
      <sz val="9"/>
      <color rgb="FF817B73"/>
      <name val="Aptos"/>
      <family val="0"/>
      <charset val="1"/>
    </font>
    <font>
      <b val="true"/>
      <sz val="10"/>
      <color rgb="FF352F29"/>
      <name val="Apto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352F29"/>
      </patternFill>
    </fill>
    <fill>
      <patternFill patternType="solid">
        <fgColor rgb="FFFFF2CC"/>
        <bgColor rgb="FFF5F2EC"/>
      </patternFill>
    </fill>
    <fill>
      <patternFill patternType="solid">
        <fgColor rgb="FFDCE6F1"/>
        <bgColor rgb="FFE7E3DD"/>
      </patternFill>
    </fill>
    <fill>
      <patternFill patternType="solid">
        <fgColor rgb="FF352F29"/>
        <bgColor rgb="FF333300"/>
      </patternFill>
    </fill>
    <fill>
      <patternFill patternType="solid">
        <fgColor rgb="FFF0EDE8"/>
        <bgColor rgb="FFF5F2EC"/>
      </patternFill>
    </fill>
    <fill>
      <patternFill patternType="solid">
        <fgColor rgb="FFF5F2EC"/>
        <bgColor rgb="FFF0EDE8"/>
      </patternFill>
    </fill>
    <fill>
      <patternFill patternType="solid">
        <fgColor rgb="FFE6E0D7"/>
        <bgColor rgb="FFE7E3DD"/>
      </patternFill>
    </fill>
    <fill>
      <patternFill patternType="solid">
        <fgColor rgb="FFF7F9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3D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12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74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72" fontId="12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2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12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12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77" fontId="12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12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12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7E3DD"/>
      <rgbColor rgb="FF817B73"/>
      <rgbColor rgb="FF9999FF"/>
      <rgbColor rgb="FFBE4B48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F0EDE8"/>
      <rgbColor rgb="FFF5F2EC"/>
      <rgbColor rgb="FF99CCFF"/>
      <rgbColor rgb="FFFF99CC"/>
      <rgbColor rgb="FFCC99FF"/>
      <rgbColor rgb="FFE6E0D7"/>
      <rgbColor rgb="FF3366FF"/>
      <rgbColor rgb="FF33CCCC"/>
      <rgbColor rgb="FF99CC00"/>
      <rgbColor rgb="FFFFCC00"/>
      <rgbColor rgb="FFFF9900"/>
      <rgbColor rgb="FFFF6600"/>
      <rgbColor rgb="FF4A7EBB"/>
      <rgbColor rgb="FF878787"/>
      <rgbColor rgb="FF17365D"/>
      <rgbColor rgb="FF339966"/>
      <rgbColor rgb="FF003300"/>
      <rgbColor rgb="FF333300"/>
      <rgbColor rgb="FF993300"/>
      <rgbColor rgb="FF993366"/>
      <rgbColor rgb="FF333399"/>
      <rgbColor rgb="FF352F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Base Cash vs Simulated Demand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'Excel Simulator'!A32</c:f>
              <c:strCache>
                <c:ptCount val="1"/>
                <c:pt idx="0">
                  <c:v>Simulated Closing Cash (EUR)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'Excel Simulator'!$B$25:$M$25</c:f>
              <c:strCache>
                <c:ptCount val="12"/>
                <c:pt idx="0">
                  <c:v>2027-01</c:v>
                </c:pt>
                <c:pt idx="1">
                  <c:v>2027-02</c:v>
                </c:pt>
                <c:pt idx="2">
                  <c:v>2027-03</c:v>
                </c:pt>
                <c:pt idx="3">
                  <c:v>2027-04</c:v>
                </c:pt>
                <c:pt idx="4">
                  <c:v>2027-05</c:v>
                </c:pt>
                <c:pt idx="5">
                  <c:v>2027-06</c:v>
                </c:pt>
                <c:pt idx="6">
                  <c:v>2027-07</c:v>
                </c:pt>
                <c:pt idx="7">
                  <c:v>2027-08</c:v>
                </c:pt>
                <c:pt idx="8">
                  <c:v>2027-09</c:v>
                </c:pt>
                <c:pt idx="9">
                  <c:v>2027-10</c:v>
                </c:pt>
                <c:pt idx="10">
                  <c:v>2027-11</c:v>
                </c:pt>
                <c:pt idx="11">
                  <c:v>2027-12</c:v>
                </c:pt>
              </c:strCache>
            </c:strRef>
          </c:cat>
          <c:val>
            <c:numRef>
              <c:f>'Excel Simulator'!$B$32:$M$32</c:f>
              <c:numCache>
                <c:formatCode>General</c:formatCode>
                <c:ptCount val="12"/>
                <c:pt idx="0">
                  <c:v>19569</c:v>
                </c:pt>
                <c:pt idx="1">
                  <c:v>19345</c:v>
                </c:pt>
                <c:pt idx="2">
                  <c:v>19466</c:v>
                </c:pt>
                <c:pt idx="3">
                  <c:v>19932</c:v>
                </c:pt>
                <c:pt idx="4">
                  <c:v>20812</c:v>
                </c:pt>
                <c:pt idx="5">
                  <c:v>22106</c:v>
                </c:pt>
                <c:pt idx="6">
                  <c:v>23814</c:v>
                </c:pt>
                <c:pt idx="7">
                  <c:v>25936</c:v>
                </c:pt>
                <c:pt idx="8">
                  <c:v>28196</c:v>
                </c:pt>
                <c:pt idx="9">
                  <c:v>30456</c:v>
                </c:pt>
                <c:pt idx="10">
                  <c:v>32716</c:v>
                </c:pt>
                <c:pt idx="11">
                  <c:v>34976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'Excel Simulator'!A33</c:f>
              <c:strCache>
                <c:ptCount val="1"/>
                <c:pt idx="0">
                  <c:v>Approved Base Cash (EUR)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'Excel Simulator'!$B$25:$M$25</c:f>
              <c:strCache>
                <c:ptCount val="12"/>
                <c:pt idx="0">
                  <c:v>2027-01</c:v>
                </c:pt>
                <c:pt idx="1">
                  <c:v>2027-02</c:v>
                </c:pt>
                <c:pt idx="2">
                  <c:v>2027-03</c:v>
                </c:pt>
                <c:pt idx="3">
                  <c:v>2027-04</c:v>
                </c:pt>
                <c:pt idx="4">
                  <c:v>2027-05</c:v>
                </c:pt>
                <c:pt idx="5">
                  <c:v>2027-06</c:v>
                </c:pt>
                <c:pt idx="6">
                  <c:v>2027-07</c:v>
                </c:pt>
                <c:pt idx="7">
                  <c:v>2027-08</c:v>
                </c:pt>
                <c:pt idx="8">
                  <c:v>2027-09</c:v>
                </c:pt>
                <c:pt idx="9">
                  <c:v>2027-10</c:v>
                </c:pt>
                <c:pt idx="10">
                  <c:v>2027-11</c:v>
                </c:pt>
                <c:pt idx="11">
                  <c:v>2027-12</c:v>
                </c:pt>
              </c:strCache>
            </c:strRef>
          </c:cat>
          <c:val>
            <c:numRef>
              <c:f>'Excel Simulator'!$B$33:$M$33</c:f>
              <c:numCache>
                <c:formatCode>General</c:formatCode>
                <c:ptCount val="12"/>
                <c:pt idx="0">
                  <c:v>19569</c:v>
                </c:pt>
                <c:pt idx="1">
                  <c:v>19345</c:v>
                </c:pt>
                <c:pt idx="2">
                  <c:v>19466</c:v>
                </c:pt>
                <c:pt idx="3">
                  <c:v>19932</c:v>
                </c:pt>
                <c:pt idx="4">
                  <c:v>20812</c:v>
                </c:pt>
                <c:pt idx="5">
                  <c:v>22106</c:v>
                </c:pt>
                <c:pt idx="6">
                  <c:v>23814</c:v>
                </c:pt>
                <c:pt idx="7">
                  <c:v>25936</c:v>
                </c:pt>
                <c:pt idx="8">
                  <c:v>28196</c:v>
                </c:pt>
                <c:pt idx="9">
                  <c:v>30456</c:v>
                </c:pt>
                <c:pt idx="10">
                  <c:v>32716</c:v>
                </c:pt>
                <c:pt idx="11">
                  <c:v>34976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732925"/>
        <c:axId val="4185469"/>
      </c:lineChart>
      <c:catAx>
        <c:axId val="737329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85469"/>
        <c:crosses val="autoZero"/>
        <c:auto val="1"/>
        <c:lblAlgn val="ctr"/>
        <c:lblOffset val="100"/>
        <c:noMultiLvlLbl val="0"/>
      </c:catAx>
      <c:valAx>
        <c:axId val="41854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7329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35</xdr:row>
      <xdr:rowOff>0</xdr:rowOff>
    </xdr:from>
    <xdr:to>
      <xdr:col>4</xdr:col>
      <xdr:colOff>773640</xdr:colOff>
      <xdr:row>55</xdr:row>
      <xdr:rowOff>149400</xdr:rowOff>
    </xdr:to>
    <xdr:graphicFrame>
      <xdr:nvGraphicFramePr>
        <xdr:cNvPr id="0" name="Chart 1"/>
        <xdr:cNvGraphicFramePr/>
      </xdr:nvGraphicFramePr>
      <xdr:xfrm>
        <a:off x="0" y="6667560"/>
        <a:ext cx="899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docs/DisruptRadar_Modelo_Financeiro.xlsx" TargetMode="External"/><Relationship Id="rId2" Type="http://schemas.openxmlformats.org/officeDocument/2006/relationships/hyperlink" Target="../docs/DisruptRadar_Modelo_Financeiro.xlsx" TargetMode="External"/><Relationship Id="rId3" Type="http://schemas.openxmlformats.org/officeDocument/2006/relationships/hyperlink" Target="../docs/DisruptRadar_Modelo_Financeiro.xlsx" TargetMode="External"/><Relationship Id="rId4" Type="http://schemas.openxmlformats.org/officeDocument/2006/relationships/hyperlink" Target="../docs/DisruptRadar_Modelo_Financeiro.xlsx" TargetMode="External"/><Relationship Id="rId5" Type="http://schemas.openxmlformats.org/officeDocument/2006/relationships/hyperlink" Target="../docs/DisruptRadar_Modelo_Financeiro.xlsx" TargetMode="External"/><Relationship Id="rId6" Type="http://schemas.openxmlformats.org/officeDocument/2006/relationships/hyperlink" Target="../docs/DisruptRadar_Modelo_Financeiro.xlsx" TargetMode="External"/><Relationship Id="rId7" Type="http://schemas.openxmlformats.org/officeDocument/2006/relationships/hyperlink" Target="../docs/DisruptRadar_Modelo_Financeiro.xlsx" TargetMode="External"/><Relationship Id="rId8" Type="http://schemas.openxmlformats.org/officeDocument/2006/relationships/hyperlink" Target="../docs/DisruptRadar_Modelo_Financeiro.xlsx" TargetMode="External"/><Relationship Id="rId9" Type="http://schemas.openxmlformats.org/officeDocument/2006/relationships/hyperlink" Target="../docs/DisruptRadar_Modelo_Financeiro.xlsx" TargetMode="External"/><Relationship Id="rId10" Type="http://schemas.openxmlformats.org/officeDocument/2006/relationships/hyperlink" Target="../docs/DisruptRadar_Modelo_Financeiro.xlsx" TargetMode="External"/><Relationship Id="rId11" Type="http://schemas.openxmlformats.org/officeDocument/2006/relationships/hyperlink" Target="../docs/DisruptRadar_Modelo_Financeiro.xlsx" TargetMode="External"/><Relationship Id="rId12" Type="http://schemas.openxmlformats.org/officeDocument/2006/relationships/hyperlink" Target="../docs/DisruptRadar_Modelo_Financeiro.xlsx" TargetMode="External"/><Relationship Id="rId13" Type="http://schemas.openxmlformats.org/officeDocument/2006/relationships/hyperlink" Target="../docs/DisruptRadar_Modelo_Financeiro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5" zeroHeight="false" outlineLevelRow="0" outlineLevelCol="0"/>
  <cols>
    <col collapsed="false" customWidth="true" hidden="false" outlineLevel="0" max="1" min="1" style="1" width="29"/>
    <col collapsed="false" customWidth="true" hidden="false" outlineLevel="0" max="2" min="2" style="1" width="115"/>
  </cols>
  <sheetData>
    <row r="1" customFormat="false" ht="30" hidden="false" customHeight="true" outlineLevel="0" collapsed="false">
      <c r="A1" s="2" t="s">
        <v>0</v>
      </c>
      <c r="B1" s="3"/>
    </row>
    <row r="2" customFormat="false" ht="45" hidden="false" customHeight="true" outlineLevel="0" collapsed="false">
      <c r="A2" s="1" t="s">
        <v>1</v>
      </c>
      <c r="B2" s="4" t="s">
        <v>2</v>
      </c>
    </row>
    <row r="3" customFormat="false" ht="45" hidden="false" customHeight="true" outlineLevel="0" collapsed="false">
      <c r="A3" s="1" t="s">
        <v>3</v>
      </c>
      <c r="B3" s="4" t="s">
        <v>4</v>
      </c>
    </row>
    <row r="4" customFormat="false" ht="45" hidden="false" customHeight="true" outlineLevel="0" collapsed="false">
      <c r="A4" s="1" t="s">
        <v>5</v>
      </c>
      <c r="B4" s="4" t="s">
        <v>6</v>
      </c>
    </row>
    <row r="5" customFormat="false" ht="45" hidden="false" customHeight="true" outlineLevel="0" collapsed="false">
      <c r="A5" s="1" t="s">
        <v>7</v>
      </c>
      <c r="B5" s="4" t="s">
        <v>8</v>
      </c>
    </row>
    <row r="6" customFormat="false" ht="45" hidden="false" customHeight="true" outlineLevel="0" collapsed="false">
      <c r="A6" s="1" t="s">
        <v>9</v>
      </c>
      <c r="B6" s="4" t="s">
        <v>10</v>
      </c>
    </row>
    <row r="7" customFormat="false" ht="45" hidden="false" customHeight="true" outlineLevel="0" collapsed="false">
      <c r="A7" s="1" t="s">
        <v>11</v>
      </c>
      <c r="B7" s="4" t="s">
        <v>12</v>
      </c>
    </row>
    <row r="8" customFormat="false" ht="45" hidden="false" customHeight="true" outlineLevel="0" collapsed="false">
      <c r="A8" s="1" t="s">
        <v>13</v>
      </c>
      <c r="B8" s="4" t="s">
        <v>14</v>
      </c>
    </row>
    <row r="9" customFormat="false" ht="45" hidden="false" customHeight="true" outlineLevel="0" collapsed="false">
      <c r="A9" s="1" t="s">
        <v>15</v>
      </c>
      <c r="B9" s="4" t="s">
        <v>16</v>
      </c>
    </row>
    <row r="10" customFormat="false" ht="45" hidden="false" customHeight="true" outlineLevel="0" collapsed="false">
      <c r="A10" s="1" t="s">
        <v>17</v>
      </c>
      <c r="B10" s="4" t="s">
        <v>18</v>
      </c>
    </row>
    <row r="11" customFormat="false" ht="45" hidden="false" customHeight="true" outlineLevel="0" collapsed="false">
      <c r="A11" s="1" t="s">
        <v>19</v>
      </c>
      <c r="B11" s="4" t="s">
        <v>20</v>
      </c>
    </row>
    <row r="12" customFormat="false" ht="45" hidden="false" customHeight="true" outlineLevel="0" collapsed="false">
      <c r="A12" s="1" t="s">
        <v>21</v>
      </c>
      <c r="B12" s="4" t="s">
        <v>22</v>
      </c>
    </row>
    <row r="13" customFormat="false" ht="45" hidden="false" customHeight="true" outlineLevel="0" collapsed="false">
      <c r="A13" s="1" t="s">
        <v>23</v>
      </c>
      <c r="B13" s="4" t="s">
        <v>24</v>
      </c>
    </row>
    <row r="14" customFormat="false" ht="45" hidden="false" customHeight="true" outlineLevel="0" collapsed="false">
      <c r="A14" s="1" t="s">
        <v>25</v>
      </c>
      <c r="B14" s="4" t="s">
        <v>26</v>
      </c>
    </row>
    <row r="15" customFormat="false" ht="45" hidden="false" customHeight="true" outlineLevel="0" collapsed="false">
      <c r="A15" s="1" t="s">
        <v>27</v>
      </c>
      <c r="B15" s="4" t="s">
        <v>28</v>
      </c>
    </row>
    <row r="16" customFormat="false" ht="45" hidden="false" customHeight="true" outlineLevel="0" collapsed="false">
      <c r="A16" s="1" t="s">
        <v>29</v>
      </c>
      <c r="B16" s="4" t="s">
        <v>30</v>
      </c>
    </row>
    <row r="19" customFormat="false" ht="15" hidden="false" customHeight="false" outlineLevel="0" collapsed="false">
      <c r="A19" s="1" t="s">
        <v>31</v>
      </c>
    </row>
    <row r="20" customFormat="false" ht="15" hidden="false" customHeight="false" outlineLevel="0" collapsed="false">
      <c r="A20" s="5" t="s">
        <v>32</v>
      </c>
      <c r="B20" s="1" t="s">
        <v>0</v>
      </c>
    </row>
    <row r="21" customFormat="false" ht="15" hidden="false" customHeight="false" outlineLevel="0" collapsed="false">
      <c r="A21" s="5" t="s">
        <v>33</v>
      </c>
      <c r="B21" s="1" t="s">
        <v>34</v>
      </c>
    </row>
    <row r="22" customFormat="false" ht="15" hidden="false" customHeight="false" outlineLevel="0" collapsed="false">
      <c r="A22" s="5" t="s">
        <v>35</v>
      </c>
      <c r="B22" s="1" t="s">
        <v>36</v>
      </c>
    </row>
    <row r="23" customFormat="false" ht="15" hidden="false" customHeight="false" outlineLevel="0" collapsed="false">
      <c r="A23" s="5" t="s">
        <v>37</v>
      </c>
      <c r="B23" s="1" t="s">
        <v>38</v>
      </c>
    </row>
    <row r="24" customFormat="false" ht="15" hidden="false" customHeight="false" outlineLevel="0" collapsed="false">
      <c r="A24" s="5" t="s">
        <v>39</v>
      </c>
      <c r="B24" s="1" t="s">
        <v>40</v>
      </c>
    </row>
    <row r="25" customFormat="false" ht="15" hidden="false" customHeight="false" outlineLevel="0" collapsed="false">
      <c r="A25" s="5" t="s">
        <v>41</v>
      </c>
      <c r="B25" s="1" t="s">
        <v>42</v>
      </c>
    </row>
    <row r="26" customFormat="false" ht="15" hidden="false" customHeight="false" outlineLevel="0" collapsed="false">
      <c r="A26" s="5" t="s">
        <v>43</v>
      </c>
      <c r="B26" s="1" t="s">
        <v>44</v>
      </c>
    </row>
    <row r="27" customFormat="false" ht="15" hidden="false" customHeight="false" outlineLevel="0" collapsed="false">
      <c r="A27" s="5" t="s">
        <v>45</v>
      </c>
      <c r="B27" s="1" t="s">
        <v>46</v>
      </c>
    </row>
    <row r="28" customFormat="false" ht="15" hidden="false" customHeight="false" outlineLevel="0" collapsed="false">
      <c r="A28" s="5" t="s">
        <v>47</v>
      </c>
      <c r="B28" s="1" t="s">
        <v>48</v>
      </c>
    </row>
    <row r="29" customFormat="false" ht="15" hidden="false" customHeight="false" outlineLevel="0" collapsed="false">
      <c r="A29" s="5" t="s">
        <v>49</v>
      </c>
      <c r="B29" s="1" t="s">
        <v>50</v>
      </c>
    </row>
    <row r="30" customFormat="false" ht="15" hidden="false" customHeight="false" outlineLevel="0" collapsed="false">
      <c r="A30" s="5" t="s">
        <v>51</v>
      </c>
      <c r="B30" s="1" t="s">
        <v>52</v>
      </c>
    </row>
    <row r="31" customFormat="false" ht="15" hidden="false" customHeight="false" outlineLevel="0" collapsed="false">
      <c r="A31" s="5" t="s">
        <v>53</v>
      </c>
      <c r="B31" s="1" t="s">
        <v>54</v>
      </c>
    </row>
    <row r="32" customFormat="false" ht="15" hidden="false" customHeight="false" outlineLevel="0" collapsed="false">
      <c r="A32" s="5" t="s">
        <v>55</v>
      </c>
      <c r="B32" s="1" t="s">
        <v>55</v>
      </c>
    </row>
  </sheetData>
  <hyperlinks>
    <hyperlink ref="A20" r:id="rId1" location="'Read%20Me'!A1" display="Read Me"/>
    <hyperlink ref="A21" r:id="rId2" location="'Simulador%20Excel'!A1" display="Excel Simulator"/>
    <hyperlink ref="A22" r:id="rId3" location="'DisruptRadar%20Business%20Plan%20·%20Ma'!A1" display="Scenario Matrix"/>
    <hyperlink ref="A23" r:id="rId4" location="'DisruptRadar%20Business%20Plan%20·%20Pr'!A1" display="Year 1 Assumptions"/>
    <hyperlink ref="A24" r:id="rId5" location="'DisruptRadar%20Business%20Plan%20·%20Cu'!A1" display="Usage-Based Delivery Costs"/>
    <hyperlink ref="A25" r:id="rId6" location="'DisruptRadar%20—%20Projeção%20mensal'!A1" display="Base Projection Controls"/>
    <hyperlink ref="A26" r:id="rId7" location="'DisruptRadar%20—%20Projeção%20men%20(2)'!A1" display="Base Monthly Projection"/>
    <hyperlink ref="A27" r:id="rId8" location="'DisruptRadar%20—%20Projeção%20men%20(3)'!A1" display="Base Annual Reconciliation"/>
    <hyperlink ref="A28" r:id="rId9" location="'DisruptRadar%20—%20Projeção%20men%20(4)'!A1" display="Fixed Cost Sensitivity"/>
    <hyperlink ref="A29" r:id="rId10" location="'DisruptRadar%20—%20Projeção%20men%20(5)'!A1" display="Price &amp; Fixed Cost Sensitivity"/>
    <hyperlink ref="A30" r:id="rId11" location="'DisruptRadar%20—%20Projeção%20men%20(6)'!A1" display="Demand Thresholds"/>
    <hyperlink ref="A31" r:id="rId12" location="'DisruptRadar%20—%20Projeção%20men%20(7)'!A1" display="Demand Loss Annual Calculation"/>
    <hyperlink ref="A32" r:id="rId13" location="'Model%20inputs'!A1" display="Model input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5" zeroHeight="false" outlineLevelRow="0" outlineLevelCol="0"/>
  <cols>
    <col collapsed="false" customWidth="true" hidden="false" outlineLevel="0" max="1" min="1" style="1" width="51"/>
    <col collapsed="false" customWidth="true" hidden="false" outlineLevel="0" max="15" min="2" style="1" width="17"/>
  </cols>
  <sheetData>
    <row r="1" customFormat="false" ht="15" hidden="false" customHeight="false" outlineLevel="0" collapsed="false">
      <c r="A1" s="2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1" t="s">
        <v>56</v>
      </c>
    </row>
    <row r="5" customFormat="false" ht="15" hidden="false" customHeight="false" outlineLevel="0" collapsed="false">
      <c r="A5" s="1" t="s">
        <v>57</v>
      </c>
      <c r="B5" s="6" t="n">
        <f aca="false">'Base Projection Controls'!B7</f>
        <v>99</v>
      </c>
    </row>
    <row r="6" customFormat="false" ht="15" hidden="false" customHeight="false" outlineLevel="0" collapsed="false">
      <c r="A6" s="1" t="s">
        <v>58</v>
      </c>
      <c r="B6" s="7" t="n">
        <f aca="false">'Demand Loss Annual Calculation'!B5</f>
        <v>0</v>
      </c>
    </row>
    <row r="7" customFormat="false" ht="15" hidden="false" customHeight="false" outlineLevel="0" collapsed="false">
      <c r="A7" s="1" t="s">
        <v>59</v>
      </c>
      <c r="B7" s="6" t="n">
        <f aca="false">'Base Projection Controls'!B5/12</f>
        <v>500</v>
      </c>
    </row>
    <row r="8" customFormat="false" ht="15" hidden="false" customHeight="false" outlineLevel="0" collapsed="false">
      <c r="A8" s="1" t="s">
        <v>60</v>
      </c>
      <c r="B8" s="6" t="n">
        <f aca="false">'Demand Thresholds'!B8</f>
        <v>30</v>
      </c>
    </row>
    <row r="9" customFormat="false" ht="15" hidden="false" customHeight="false" outlineLevel="0" collapsed="false">
      <c r="A9" s="1" t="s">
        <v>61</v>
      </c>
      <c r="B9" s="6" t="n">
        <f aca="false">'Base Projection Controls'!B10</f>
        <v>20000</v>
      </c>
    </row>
    <row r="11" customFormat="false" ht="15" hidden="false" customHeight="false" outlineLevel="0" collapsed="false">
      <c r="A11" s="1" t="s">
        <v>62</v>
      </c>
      <c r="B11" s="8" t="n">
        <f aca="false">SUM(B27:M27)</f>
        <v>304</v>
      </c>
    </row>
    <row r="12" customFormat="false" ht="15" hidden="false" customHeight="false" outlineLevel="0" collapsed="false">
      <c r="A12" s="1" t="s">
        <v>63</v>
      </c>
      <c r="B12" s="9" t="n">
        <f aca="false">SUM(B31:M31)</f>
        <v>14976</v>
      </c>
    </row>
    <row r="13" customFormat="false" ht="15" hidden="false" customHeight="false" outlineLevel="0" collapsed="false">
      <c r="A13" s="1" t="s">
        <v>64</v>
      </c>
      <c r="B13" s="9" t="n">
        <f aca="false">MIN(B32:M32)</f>
        <v>19345</v>
      </c>
    </row>
    <row r="14" customFormat="false" ht="15" hidden="false" customHeight="false" outlineLevel="0" collapsed="false">
      <c r="A14" s="1" t="s">
        <v>65</v>
      </c>
      <c r="B14" s="9" t="n">
        <f aca="false">M32</f>
        <v>34976</v>
      </c>
    </row>
    <row r="15" customFormat="false" ht="15" hidden="false" customHeight="false" outlineLevel="0" collapsed="false">
      <c r="A15" s="1" t="s">
        <v>66</v>
      </c>
      <c r="B15" s="9" t="n">
        <f aca="false">B12-'Base Annual Reconciliation'!B10</f>
        <v>0</v>
      </c>
    </row>
    <row r="17" customFormat="false" ht="15" hidden="false" customHeight="false" outlineLevel="0" collapsed="false">
      <c r="A17" s="1" t="s">
        <v>67</v>
      </c>
      <c r="B17" s="8" t="n">
        <f aca="false">IF(B5-B8&gt;0,('Base Annual Reconciliation'!B10+B7*12)/(B5-B8),"No finite threshold")</f>
        <v>304</v>
      </c>
    </row>
    <row r="18" customFormat="false" ht="15" hidden="false" customHeight="false" outlineLevel="0" collapsed="false">
      <c r="A18" s="1" t="s">
        <v>68</v>
      </c>
      <c r="B18" s="10" t="n">
        <f aca="false">IF(ISNUMBER(B17),1-B17/'Base Annual Reconciliation'!B5,"No finite threshold")</f>
        <v>0</v>
      </c>
    </row>
    <row r="19" customFormat="false" ht="15" hidden="false" customHeight="false" outlineLevel="0" collapsed="false">
      <c r="A19" s="1" t="s">
        <v>69</v>
      </c>
      <c r="B19" s="8" t="n">
        <f aca="false">IF(B5-B8&gt;0,B7*12/(B5-B8),"No finite threshold")</f>
        <v>86.9565217391304</v>
      </c>
    </row>
    <row r="20" customFormat="false" ht="15" hidden="false" customHeight="false" outlineLevel="0" collapsed="false">
      <c r="A20" s="1" t="s">
        <v>70</v>
      </c>
      <c r="B20" s="8" t="n">
        <f aca="false">IF(ISNUMBER(B19),CEILING(B19,1),"No finite threshold")</f>
        <v>87</v>
      </c>
    </row>
    <row r="22" customFormat="false" ht="15" hidden="false" customHeight="false" outlineLevel="0" collapsed="false">
      <c r="A22" s="1" t="s">
        <v>71</v>
      </c>
    </row>
    <row r="23" customFormat="false" ht="15" hidden="false" customHeight="false" outlineLevel="0" collapsed="false">
      <c r="A23" s="1" t="s">
        <v>72</v>
      </c>
    </row>
    <row r="25" customFormat="false" ht="15" hidden="false" customHeight="false" outlineLevel="0" collapsed="false">
      <c r="A25" s="11" t="s">
        <v>73</v>
      </c>
      <c r="B25" s="12" t="str">
        <f aca="false">'Base Monthly Projection'!B4</f>
        <v>2027-01</v>
      </c>
      <c r="C25" s="12" t="str">
        <f aca="false">'Base Monthly Projection'!C4</f>
        <v>2027-02</v>
      </c>
      <c r="D25" s="12" t="str">
        <f aca="false">'Base Monthly Projection'!D4</f>
        <v>2027-03</v>
      </c>
      <c r="E25" s="12" t="str">
        <f aca="false">'Base Monthly Projection'!E4</f>
        <v>2027-04</v>
      </c>
      <c r="F25" s="12" t="str">
        <f aca="false">'Base Monthly Projection'!F4</f>
        <v>2027-05</v>
      </c>
      <c r="G25" s="12" t="str">
        <f aca="false">'Base Monthly Projection'!G4</f>
        <v>2027-06</v>
      </c>
      <c r="H25" s="12" t="str">
        <f aca="false">'Base Monthly Projection'!H4</f>
        <v>2027-07</v>
      </c>
      <c r="I25" s="12" t="str">
        <f aca="false">'Base Monthly Projection'!I4</f>
        <v>2027-08</v>
      </c>
      <c r="J25" s="12" t="str">
        <f aca="false">'Base Monthly Projection'!J4</f>
        <v>2027-09</v>
      </c>
      <c r="K25" s="12" t="str">
        <f aca="false">'Base Monthly Projection'!K4</f>
        <v>2027-10</v>
      </c>
      <c r="L25" s="12" t="str">
        <f aca="false">'Base Monthly Projection'!L4</f>
        <v>2027-11</v>
      </c>
      <c r="M25" s="12" t="str">
        <f aca="false">'Base Monthly Projection'!M4</f>
        <v>2027-12</v>
      </c>
      <c r="N25" s="11"/>
      <c r="O25" s="11" t="s">
        <v>74</v>
      </c>
    </row>
    <row r="26" customFormat="false" ht="15" hidden="false" customHeight="false" outlineLevel="0" collapsed="false">
      <c r="A26" s="1" t="s">
        <v>75</v>
      </c>
      <c r="B26" s="8" t="n">
        <f aca="false">'Base Monthly Projection'!B5</f>
        <v>1</v>
      </c>
      <c r="C26" s="8" t="n">
        <f aca="false">'Base Monthly Projection'!C5</f>
        <v>4</v>
      </c>
      <c r="D26" s="8" t="n">
        <f aca="false">'Base Monthly Projection'!D5</f>
        <v>9</v>
      </c>
      <c r="E26" s="8" t="n">
        <f aca="false">'Base Monthly Projection'!E5</f>
        <v>14</v>
      </c>
      <c r="F26" s="8" t="n">
        <f aca="false">'Base Monthly Projection'!F5</f>
        <v>20</v>
      </c>
      <c r="G26" s="8" t="n">
        <f aca="false">'Base Monthly Projection'!G5</f>
        <v>26</v>
      </c>
      <c r="H26" s="8" t="n">
        <f aca="false">'Base Monthly Projection'!H5</f>
        <v>32</v>
      </c>
      <c r="I26" s="8" t="n">
        <f aca="false">'Base Monthly Projection'!I5</f>
        <v>38</v>
      </c>
      <c r="J26" s="8" t="n">
        <f aca="false">'Base Monthly Projection'!J5</f>
        <v>40</v>
      </c>
      <c r="K26" s="8" t="n">
        <f aca="false">'Base Monthly Projection'!K5</f>
        <v>40</v>
      </c>
      <c r="L26" s="8" t="n">
        <f aca="false">'Base Monthly Projection'!L5</f>
        <v>40</v>
      </c>
      <c r="M26" s="8" t="n">
        <f aca="false">'Base Monthly Projection'!M5</f>
        <v>40</v>
      </c>
      <c r="O26" s="8" t="n">
        <f aca="false">SUM(B26:M26)</f>
        <v>304</v>
      </c>
    </row>
    <row r="27" customFormat="false" ht="15" hidden="false" customHeight="false" outlineLevel="0" collapsed="false">
      <c r="A27" s="1" t="s">
        <v>76</v>
      </c>
      <c r="B27" s="8" t="n">
        <f aca="false">B26*(1-$B$6)</f>
        <v>1</v>
      </c>
      <c r="C27" s="8" t="n">
        <f aca="false">C26*(1-$B$6)</f>
        <v>4</v>
      </c>
      <c r="D27" s="8" t="n">
        <f aca="false">D26*(1-$B$6)</f>
        <v>9</v>
      </c>
      <c r="E27" s="8" t="n">
        <f aca="false">E26*(1-$B$6)</f>
        <v>14</v>
      </c>
      <c r="F27" s="8" t="n">
        <f aca="false">F26*(1-$B$6)</f>
        <v>20</v>
      </c>
      <c r="G27" s="8" t="n">
        <f aca="false">G26*(1-$B$6)</f>
        <v>26</v>
      </c>
      <c r="H27" s="8" t="n">
        <f aca="false">H26*(1-$B$6)</f>
        <v>32</v>
      </c>
      <c r="I27" s="8" t="n">
        <f aca="false">I26*(1-$B$6)</f>
        <v>38</v>
      </c>
      <c r="J27" s="8" t="n">
        <f aca="false">J26*(1-$B$6)</f>
        <v>40</v>
      </c>
      <c r="K27" s="8" t="n">
        <f aca="false">K26*(1-$B$6)</f>
        <v>40</v>
      </c>
      <c r="L27" s="8" t="n">
        <f aca="false">L26*(1-$B$6)</f>
        <v>40</v>
      </c>
      <c r="M27" s="8" t="n">
        <f aca="false">M26*(1-$B$6)</f>
        <v>40</v>
      </c>
      <c r="O27" s="8" t="n">
        <f aca="false">SUM(B27:M27)</f>
        <v>304</v>
      </c>
    </row>
    <row r="28" customFormat="false" ht="15" hidden="false" customHeight="false" outlineLevel="0" collapsed="false">
      <c r="A28" s="1" t="s">
        <v>77</v>
      </c>
      <c r="B28" s="9" t="n">
        <f aca="false">B27*$B$5</f>
        <v>99</v>
      </c>
      <c r="C28" s="9" t="n">
        <f aca="false">C27*$B$5</f>
        <v>396</v>
      </c>
      <c r="D28" s="9" t="n">
        <f aca="false">D27*$B$5</f>
        <v>891</v>
      </c>
      <c r="E28" s="9" t="n">
        <f aca="false">E27*$B$5</f>
        <v>1386</v>
      </c>
      <c r="F28" s="9" t="n">
        <f aca="false">F27*$B$5</f>
        <v>1980</v>
      </c>
      <c r="G28" s="9" t="n">
        <f aca="false">G27*$B$5</f>
        <v>2574</v>
      </c>
      <c r="H28" s="9" t="n">
        <f aca="false">H27*$B$5</f>
        <v>3168</v>
      </c>
      <c r="I28" s="9" t="n">
        <f aca="false">I27*$B$5</f>
        <v>3762</v>
      </c>
      <c r="J28" s="9" t="n">
        <f aca="false">J27*$B$5</f>
        <v>3960</v>
      </c>
      <c r="K28" s="9" t="n">
        <f aca="false">K27*$B$5</f>
        <v>3960</v>
      </c>
      <c r="L28" s="9" t="n">
        <f aca="false">L27*$B$5</f>
        <v>3960</v>
      </c>
      <c r="M28" s="9" t="n">
        <f aca="false">M27*$B$5</f>
        <v>3960</v>
      </c>
      <c r="O28" s="9" t="n">
        <f aca="false">SUM(B28:M28)</f>
        <v>30096</v>
      </c>
    </row>
    <row r="29" customFormat="false" ht="15" hidden="false" customHeight="false" outlineLevel="0" collapsed="false">
      <c r="A29" s="1" t="s">
        <v>78</v>
      </c>
      <c r="B29" s="9" t="n">
        <f aca="false">B27*$B$8</f>
        <v>30</v>
      </c>
      <c r="C29" s="9" t="n">
        <f aca="false">C27*$B$8</f>
        <v>120</v>
      </c>
      <c r="D29" s="9" t="n">
        <f aca="false">D27*$B$8</f>
        <v>270</v>
      </c>
      <c r="E29" s="9" t="n">
        <f aca="false">E27*$B$8</f>
        <v>420</v>
      </c>
      <c r="F29" s="9" t="n">
        <f aca="false">F27*$B$8</f>
        <v>600</v>
      </c>
      <c r="G29" s="9" t="n">
        <f aca="false">G27*$B$8</f>
        <v>780</v>
      </c>
      <c r="H29" s="9" t="n">
        <f aca="false">H27*$B$8</f>
        <v>960</v>
      </c>
      <c r="I29" s="9" t="n">
        <f aca="false">I27*$B$8</f>
        <v>1140</v>
      </c>
      <c r="J29" s="9" t="n">
        <f aca="false">J27*$B$8</f>
        <v>1200</v>
      </c>
      <c r="K29" s="9" t="n">
        <f aca="false">K27*$B$8</f>
        <v>1200</v>
      </c>
      <c r="L29" s="9" t="n">
        <f aca="false">L27*$B$8</f>
        <v>1200</v>
      </c>
      <c r="M29" s="9" t="n">
        <f aca="false">M27*$B$8</f>
        <v>1200</v>
      </c>
      <c r="O29" s="9" t="n">
        <f aca="false">SUM(B29:M29)</f>
        <v>9120</v>
      </c>
    </row>
    <row r="30" customFormat="false" ht="15" hidden="false" customHeight="false" outlineLevel="0" collapsed="false">
      <c r="A30" s="1" t="s">
        <v>79</v>
      </c>
      <c r="B30" s="9" t="n">
        <f aca="false">$B$7</f>
        <v>500</v>
      </c>
      <c r="C30" s="9" t="n">
        <f aca="false">$B$7</f>
        <v>500</v>
      </c>
      <c r="D30" s="9" t="n">
        <f aca="false">$B$7</f>
        <v>500</v>
      </c>
      <c r="E30" s="9" t="n">
        <f aca="false">$B$7</f>
        <v>500</v>
      </c>
      <c r="F30" s="9" t="n">
        <f aca="false">$B$7</f>
        <v>500</v>
      </c>
      <c r="G30" s="9" t="n">
        <f aca="false">$B$7</f>
        <v>500</v>
      </c>
      <c r="H30" s="9" t="n">
        <f aca="false">$B$7</f>
        <v>500</v>
      </c>
      <c r="I30" s="9" t="n">
        <f aca="false">$B$7</f>
        <v>500</v>
      </c>
      <c r="J30" s="9" t="n">
        <f aca="false">$B$7</f>
        <v>500</v>
      </c>
      <c r="K30" s="9" t="n">
        <f aca="false">$B$7</f>
        <v>500</v>
      </c>
      <c r="L30" s="9" t="n">
        <f aca="false">$B$7</f>
        <v>500</v>
      </c>
      <c r="M30" s="9" t="n">
        <f aca="false">$B$7</f>
        <v>500</v>
      </c>
      <c r="O30" s="9" t="n">
        <f aca="false">SUM(B30:M30)</f>
        <v>6000</v>
      </c>
    </row>
    <row r="31" customFormat="false" ht="15" hidden="false" customHeight="false" outlineLevel="0" collapsed="false">
      <c r="A31" s="1" t="s">
        <v>80</v>
      </c>
      <c r="B31" s="9" t="n">
        <f aca="false">B28-B29-B30</f>
        <v>-431</v>
      </c>
      <c r="C31" s="9" t="n">
        <f aca="false">C28-C29-C30</f>
        <v>-224</v>
      </c>
      <c r="D31" s="9" t="n">
        <f aca="false">D28-D29-D30</f>
        <v>121</v>
      </c>
      <c r="E31" s="9" t="n">
        <f aca="false">E28-E29-E30</f>
        <v>466</v>
      </c>
      <c r="F31" s="9" t="n">
        <f aca="false">F28-F29-F30</f>
        <v>880</v>
      </c>
      <c r="G31" s="9" t="n">
        <f aca="false">G28-G29-G30</f>
        <v>1294</v>
      </c>
      <c r="H31" s="9" t="n">
        <f aca="false">H28-H29-H30</f>
        <v>1708</v>
      </c>
      <c r="I31" s="9" t="n">
        <f aca="false">I28-I29-I30</f>
        <v>2122</v>
      </c>
      <c r="J31" s="9" t="n">
        <f aca="false">J28-J29-J30</f>
        <v>2260</v>
      </c>
      <c r="K31" s="9" t="n">
        <f aca="false">K28-K29-K30</f>
        <v>2260</v>
      </c>
      <c r="L31" s="9" t="n">
        <f aca="false">L28-L29-L30</f>
        <v>2260</v>
      </c>
      <c r="M31" s="9" t="n">
        <f aca="false">M28-M29-M30</f>
        <v>2260</v>
      </c>
      <c r="O31" s="9" t="n">
        <f aca="false">SUM(B31:M31)</f>
        <v>14976</v>
      </c>
    </row>
    <row r="32" customFormat="false" ht="15" hidden="false" customHeight="false" outlineLevel="0" collapsed="false">
      <c r="A32" s="1" t="s">
        <v>81</v>
      </c>
      <c r="B32" s="9" t="n">
        <f aca="false">$B$9+B31</f>
        <v>19569</v>
      </c>
      <c r="C32" s="9" t="n">
        <f aca="false">B32+C31</f>
        <v>19345</v>
      </c>
      <c r="D32" s="9" t="n">
        <f aca="false">C32+D31</f>
        <v>19466</v>
      </c>
      <c r="E32" s="9" t="n">
        <f aca="false">D32+E31</f>
        <v>19932</v>
      </c>
      <c r="F32" s="9" t="n">
        <f aca="false">E32+F31</f>
        <v>20812</v>
      </c>
      <c r="G32" s="9" t="n">
        <f aca="false">F32+G31</f>
        <v>22106</v>
      </c>
      <c r="H32" s="9" t="n">
        <f aca="false">G32+H31</f>
        <v>23814</v>
      </c>
      <c r="I32" s="9" t="n">
        <f aca="false">H32+I31</f>
        <v>25936</v>
      </c>
      <c r="J32" s="9" t="n">
        <f aca="false">I32+J31</f>
        <v>28196</v>
      </c>
      <c r="K32" s="9" t="n">
        <f aca="false">J32+K31</f>
        <v>30456</v>
      </c>
      <c r="L32" s="9" t="n">
        <f aca="false">K32+L31</f>
        <v>32716</v>
      </c>
      <c r="M32" s="9" t="n">
        <f aca="false">L32+M31</f>
        <v>34976</v>
      </c>
      <c r="O32" s="9" t="n">
        <f aca="false">M32</f>
        <v>34976</v>
      </c>
    </row>
    <row r="33" customFormat="false" ht="15" hidden="false" customHeight="false" outlineLevel="0" collapsed="false">
      <c r="A33" s="1" t="s">
        <v>82</v>
      </c>
      <c r="B33" s="9" t="n">
        <f aca="false">'Base Monthly Projection'!B12</f>
        <v>19569</v>
      </c>
      <c r="C33" s="9" t="n">
        <f aca="false">'Base Monthly Projection'!C12</f>
        <v>19345</v>
      </c>
      <c r="D33" s="9" t="n">
        <f aca="false">'Base Monthly Projection'!D12</f>
        <v>19466</v>
      </c>
      <c r="E33" s="9" t="n">
        <f aca="false">'Base Monthly Projection'!E12</f>
        <v>19932</v>
      </c>
      <c r="F33" s="9" t="n">
        <f aca="false">'Base Monthly Projection'!F12</f>
        <v>20812</v>
      </c>
      <c r="G33" s="9" t="n">
        <f aca="false">'Base Monthly Projection'!G12</f>
        <v>22106</v>
      </c>
      <c r="H33" s="9" t="n">
        <f aca="false">'Base Monthly Projection'!H12</f>
        <v>23814</v>
      </c>
      <c r="I33" s="9" t="n">
        <f aca="false">'Base Monthly Projection'!I12</f>
        <v>25936</v>
      </c>
      <c r="J33" s="9" t="n">
        <f aca="false">'Base Monthly Projection'!J12</f>
        <v>28196</v>
      </c>
      <c r="K33" s="9" t="n">
        <f aca="false">'Base Monthly Projection'!K12</f>
        <v>30456</v>
      </c>
      <c r="L33" s="9" t="n">
        <f aca="false">'Base Monthly Projection'!L12</f>
        <v>32716</v>
      </c>
      <c r="M33" s="9" t="n">
        <f aca="false">'Base Monthly Projection'!M12</f>
        <v>34976</v>
      </c>
      <c r="O33" s="9" t="n">
        <f aca="false">M33</f>
        <v>34976</v>
      </c>
    </row>
  </sheetData>
  <dataValidations count="2">
    <dataValidation allowBlank="false" error="Enter a value between 0% and 100%." errorStyle="stop" errorTitle="Invalid Demand Loss" operator="between" showDropDown="false" showErrorMessage="true" showInputMessage="false" sqref="B6" type="decimal">
      <formula1>0</formula1>
      <formula2>1</formula2>
    </dataValidation>
    <dataValidation allowBlank="false" errorStyle="stop" operator="greaterThanOrEqual" showDropDown="false" showErrorMessage="true" showInputMessage="false" sqref="B5 B7:B9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9"/>
  </cols>
  <sheetData>
    <row r="1" customFormat="false" ht="31.5" hidden="false" customHeight="true" outlineLevel="0" collapsed="false">
      <c r="A1" s="13" t="s">
        <v>36</v>
      </c>
      <c r="B1" s="13"/>
      <c r="C1" s="13"/>
      <c r="D1" s="13"/>
    </row>
    <row r="2" customFormat="false" ht="19.5" hidden="false" customHeight="true" outlineLevel="0" collapsed="false">
      <c r="A2" s="14" t="s">
        <v>83</v>
      </c>
    </row>
    <row r="4" customFormat="false" ht="21.75" hidden="false" customHeight="true" outlineLevel="0" collapsed="false">
      <c r="A4" s="15" t="s">
        <v>84</v>
      </c>
      <c r="B4" s="16" t="s">
        <v>85</v>
      </c>
      <c r="C4" s="16" t="s">
        <v>86</v>
      </c>
      <c r="D4" s="16" t="s">
        <v>87</v>
      </c>
    </row>
    <row r="5" customFormat="false" ht="18" hidden="false" customHeight="false" outlineLevel="0" collapsed="false">
      <c r="A5" s="17" t="s">
        <v>88</v>
      </c>
      <c r="B5" s="18" t="n">
        <f aca="false">40</f>
        <v>40</v>
      </c>
      <c r="C5" s="18" t="n">
        <f aca="false">12</f>
        <v>12</v>
      </c>
      <c r="D5" s="18" t="n">
        <f aca="false">100</f>
        <v>100</v>
      </c>
    </row>
    <row r="6" customFormat="false" ht="18" hidden="false" customHeight="false" outlineLevel="0" collapsed="false">
      <c r="A6" s="19" t="s">
        <v>89</v>
      </c>
      <c r="B6" s="20" t="n">
        <f aca="false">30096</f>
        <v>30096</v>
      </c>
      <c r="C6" s="20" t="n">
        <f aca="false">8000</f>
        <v>8000</v>
      </c>
      <c r="D6" s="20" t="n">
        <f aca="false">80000</f>
        <v>80000</v>
      </c>
    </row>
    <row r="7" customFormat="false" ht="18" hidden="false" customHeight="false" outlineLevel="0" collapsed="false">
      <c r="A7" s="19" t="s">
        <v>90</v>
      </c>
      <c r="B7" s="20" t="n">
        <f aca="false">15120</f>
        <v>15120</v>
      </c>
      <c r="C7" s="20" t="n">
        <f aca="false">6000</f>
        <v>6000</v>
      </c>
      <c r="D7" s="20" t="n">
        <f aca="false">24000</f>
        <v>24000</v>
      </c>
    </row>
    <row r="8" customFormat="false" ht="18" hidden="false" customHeight="false" outlineLevel="0" collapsed="false">
      <c r="A8" s="19" t="s">
        <v>91</v>
      </c>
      <c r="B8" s="20" t="n">
        <f aca="false">'Scenario Matrix'!B6-'Scenario Matrix'!B7</f>
        <v>14976</v>
      </c>
      <c r="C8" s="20" t="n">
        <f aca="false">'Scenario Matrix'!C6-'Scenario Matrix'!C7</f>
        <v>2000</v>
      </c>
      <c r="D8" s="20" t="n">
        <f aca="false">'Scenario Matrix'!D6-'Scenario Matrix'!D7</f>
        <v>56000</v>
      </c>
    </row>
    <row r="9" customFormat="false" ht="18" hidden="false" customHeight="false" outlineLevel="0" collapsed="false">
      <c r="A9" s="19" t="s">
        <v>92</v>
      </c>
      <c r="B9" s="21" t="n">
        <f aca="false">0.8</f>
        <v>0.8</v>
      </c>
      <c r="C9" s="21" t="n">
        <f aca="false">0.75</f>
        <v>0.75</v>
      </c>
      <c r="D9" s="21" t="n">
        <f aca="false">0.85</f>
        <v>0.85</v>
      </c>
    </row>
    <row r="10" customFormat="false" ht="18" hidden="false" customHeight="false" outlineLevel="0" collapsed="false">
      <c r="A10" s="17" t="s">
        <v>93</v>
      </c>
      <c r="B10" s="18" t="n">
        <f aca="false">IFERROR('Year 1 Assumptions'!B7/'Scenario Matrix'!B7*12,"")</f>
        <v>15.8730158730159</v>
      </c>
      <c r="C10" s="18" t="n">
        <f aca="false">IFERROR('Model inputs'!Z13/'Scenario Matrix'!C7*12,"")</f>
        <v>40</v>
      </c>
      <c r="D10" s="18" t="n">
        <f aca="false">IFERROR('Model inputs'!Z14/'Scenario Matrix'!D7*12,"")</f>
        <v>10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9"/>
  </cols>
  <sheetData>
    <row r="1" customFormat="false" ht="31.5" hidden="false" customHeight="true" outlineLevel="0" collapsed="false">
      <c r="A1" s="13" t="s">
        <v>38</v>
      </c>
      <c r="B1" s="13"/>
    </row>
    <row r="2" customFormat="false" ht="19.5" hidden="false" customHeight="true" outlineLevel="0" collapsed="false">
      <c r="A2" s="14" t="s">
        <v>83</v>
      </c>
    </row>
    <row r="4" customFormat="false" ht="21.75" hidden="false" customHeight="true" outlineLevel="0" collapsed="false">
      <c r="A4" s="15" t="s">
        <v>84</v>
      </c>
      <c r="B4" s="16" t="s">
        <v>85</v>
      </c>
    </row>
    <row r="5" customFormat="false" ht="18" hidden="false" customHeight="false" outlineLevel="0" collapsed="false">
      <c r="A5" s="17" t="s">
        <v>57</v>
      </c>
      <c r="B5" s="18" t="n">
        <f aca="false">99</f>
        <v>99</v>
      </c>
    </row>
    <row r="6" customFormat="false" ht="18" hidden="false" customHeight="false" outlineLevel="0" collapsed="false">
      <c r="A6" s="19" t="s">
        <v>94</v>
      </c>
      <c r="B6" s="21" t="n">
        <f aca="false">499</f>
        <v>499</v>
      </c>
    </row>
    <row r="7" customFormat="false" ht="18" hidden="false" customHeight="false" outlineLevel="0" collapsed="false">
      <c r="A7" s="19" t="s">
        <v>61</v>
      </c>
      <c r="B7" s="21" t="n">
        <f aca="false">20000</f>
        <v>20000</v>
      </c>
    </row>
    <row r="8" customFormat="false" ht="18" hidden="false" customHeight="false" outlineLevel="0" collapsed="false">
      <c r="A8" s="19" t="s">
        <v>59</v>
      </c>
      <c r="B8" s="21" t="n">
        <f aca="false">500</f>
        <v>500</v>
      </c>
    </row>
    <row r="9" customFormat="false" ht="18" hidden="false" customHeight="false" outlineLevel="0" collapsed="false">
      <c r="A9" s="19" t="s">
        <v>95</v>
      </c>
      <c r="B9" s="21" t="n">
        <f aca="false">500</f>
        <v>500</v>
      </c>
    </row>
    <row r="10" customFormat="false" ht="18" hidden="false" customHeight="false" outlineLevel="0" collapsed="false">
      <c r="A10" s="19" t="s">
        <v>96</v>
      </c>
      <c r="B10" s="21" t="n">
        <f aca="false">1000</f>
        <v>1000</v>
      </c>
    </row>
    <row r="11" customFormat="false" ht="18" hidden="false" customHeight="false" outlineLevel="0" collapsed="false">
      <c r="A11" s="19" t="s">
        <v>97</v>
      </c>
      <c r="B11" s="22" t="n">
        <f aca="false">3</f>
        <v>3</v>
      </c>
    </row>
    <row r="12" customFormat="false" ht="18" hidden="false" customHeight="false" outlineLevel="0" collapsed="false">
      <c r="A12" s="19" t="s">
        <v>98</v>
      </c>
      <c r="B12" s="23" t="n">
        <f aca="false">IFERROR(1-'Year 1 Assumptions'!B11/'Year 1 Assumptions'!B5,"")</f>
        <v>0.96969696969697</v>
      </c>
    </row>
    <row r="13" customFormat="false" ht="18" hidden="false" customHeight="false" outlineLevel="0" collapsed="false">
      <c r="A13" s="19" t="s">
        <v>99</v>
      </c>
      <c r="B13" s="24" t="n">
        <f aca="false">10</f>
        <v>10</v>
      </c>
    </row>
    <row r="14" customFormat="false" ht="18" hidden="false" customHeight="false" outlineLevel="0" collapsed="false">
      <c r="A14" s="19" t="s">
        <v>100</v>
      </c>
      <c r="B14" s="25" t="n">
        <f aca="false">10</f>
        <v>10</v>
      </c>
    </row>
    <row r="15" customFormat="false" ht="18" hidden="false" customHeight="false" outlineLevel="0" collapsed="false">
      <c r="A15" s="19" t="s">
        <v>101</v>
      </c>
      <c r="B15" s="22" t="n">
        <f aca="false">'Year 1 Assumptions'!B14*'Year 1 Assumptions'!B11</f>
        <v>30</v>
      </c>
    </row>
    <row r="16" customFormat="false" ht="18" hidden="false" customHeight="false" outlineLevel="0" collapsed="false">
      <c r="A16" s="17" t="s">
        <v>102</v>
      </c>
      <c r="B16" s="26" t="n">
        <f aca="false">IFERROR(('Year 1 Assumptions'!B5-'Year 1 Assumptions'!B15)/'Year 1 Assumptions'!B5,"")</f>
        <v>0.696969696969697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9"/>
  </cols>
  <sheetData>
    <row r="1" customFormat="false" ht="31.5" hidden="false" customHeight="true" outlineLevel="0" collapsed="false">
      <c r="A1" s="13" t="s">
        <v>40</v>
      </c>
      <c r="B1" s="13"/>
      <c r="C1" s="13"/>
      <c r="D1" s="13"/>
    </row>
    <row r="2" customFormat="false" ht="19.5" hidden="false" customHeight="true" outlineLevel="0" collapsed="false">
      <c r="A2" s="14" t="s">
        <v>83</v>
      </c>
    </row>
    <row r="4" customFormat="false" ht="21.75" hidden="false" customHeight="true" outlineLevel="0" collapsed="false">
      <c r="A4" s="15" t="s">
        <v>84</v>
      </c>
      <c r="B4" s="16" t="s">
        <v>85</v>
      </c>
      <c r="C4" s="16" t="s">
        <v>86</v>
      </c>
      <c r="D4" s="16" t="s">
        <v>87</v>
      </c>
    </row>
    <row r="5" customFormat="false" ht="18" hidden="false" customHeight="false" outlineLevel="0" collapsed="false">
      <c r="A5" s="17" t="s">
        <v>88</v>
      </c>
      <c r="B5" s="18" t="n">
        <f aca="false">40</f>
        <v>40</v>
      </c>
      <c r="C5" s="18" t="n">
        <f aca="false">'Scenario Matrix'!C5</f>
        <v>12</v>
      </c>
      <c r="D5" s="18" t="n">
        <f aca="false">'Scenario Matrix'!D5</f>
        <v>100</v>
      </c>
    </row>
    <row r="6" customFormat="false" ht="18" hidden="false" customHeight="false" outlineLevel="0" collapsed="false">
      <c r="A6" s="19" t="s">
        <v>103</v>
      </c>
      <c r="B6" s="24" t="n">
        <f aca="false">'Year 1 Assumptions'!B14*'Usage-Based Delivery Costs'!B5</f>
        <v>400</v>
      </c>
      <c r="C6" s="24" t="n">
        <f aca="false">'Model inputs'!Z38*'Usage-Based Delivery Costs'!C5</f>
        <v>120</v>
      </c>
      <c r="D6" s="24" t="n">
        <f aca="false">'Model inputs'!Z39*'Usage-Based Delivery Costs'!D5</f>
        <v>1000</v>
      </c>
    </row>
    <row r="7" customFormat="false" ht="18" hidden="false" customHeight="false" outlineLevel="0" collapsed="false">
      <c r="A7" s="17" t="s">
        <v>104</v>
      </c>
      <c r="B7" s="27" t="n">
        <f aca="false">'Year 1 Assumptions'!B14*'Year 1 Assumptions'!B11*'Usage-Based Delivery Costs'!B5</f>
        <v>1200</v>
      </c>
      <c r="C7" s="27" t="n">
        <f aca="false">'Model inputs'!Z38*'Model inputs'!Z28*'Usage-Based Delivery Costs'!C5</f>
        <v>360</v>
      </c>
      <c r="D7" s="27" t="n">
        <f aca="false">'Model inputs'!Z39*'Model inputs'!Z29*'Usage-Based Delivery Costs'!D5</f>
        <v>3000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9"/>
  </cols>
  <sheetData>
    <row r="1" customFormat="false" ht="31.5" hidden="false" customHeight="true" outlineLevel="0" collapsed="false">
      <c r="A1" s="13" t="s">
        <v>42</v>
      </c>
      <c r="B1" s="13"/>
    </row>
    <row r="2" customFormat="false" ht="19.5" hidden="false" customHeight="true" outlineLevel="0" collapsed="false">
      <c r="A2" s="14" t="s">
        <v>83</v>
      </c>
    </row>
    <row r="4" customFormat="false" ht="21.75" hidden="false" customHeight="true" outlineLevel="0" collapsed="false">
      <c r="A4" s="15" t="s">
        <v>84</v>
      </c>
      <c r="B4" s="16" t="s">
        <v>85</v>
      </c>
    </row>
    <row r="5" customFormat="false" ht="18" hidden="false" customHeight="false" outlineLevel="0" collapsed="false">
      <c r="A5" s="17" t="s">
        <v>105</v>
      </c>
      <c r="B5" s="28" t="n">
        <f aca="false">6000</f>
        <v>6000</v>
      </c>
    </row>
    <row r="6" customFormat="false" ht="18" hidden="false" customHeight="false" outlineLevel="0" collapsed="false">
      <c r="A6" s="19" t="s">
        <v>106</v>
      </c>
      <c r="B6" s="29" t="n">
        <f aca="false">DATE(2027,1,1)</f>
        <v>46388</v>
      </c>
    </row>
    <row r="7" customFormat="false" ht="18" hidden="false" customHeight="false" outlineLevel="0" collapsed="false">
      <c r="A7" s="19" t="s">
        <v>57</v>
      </c>
      <c r="B7" s="21" t="n">
        <f aca="false">99</f>
        <v>99</v>
      </c>
    </row>
    <row r="8" customFormat="false" ht="18" hidden="false" customHeight="false" outlineLevel="0" collapsed="false">
      <c r="A8" s="19" t="s">
        <v>100</v>
      </c>
      <c r="B8" s="21" t="n">
        <f aca="false">10</f>
        <v>10</v>
      </c>
    </row>
    <row r="9" customFormat="false" ht="18" hidden="false" customHeight="false" outlineLevel="0" collapsed="false">
      <c r="A9" s="19" t="s">
        <v>97</v>
      </c>
      <c r="B9" s="21" t="n">
        <f aca="false">3</f>
        <v>3</v>
      </c>
    </row>
    <row r="10" customFormat="false" ht="18" hidden="false" customHeight="false" outlineLevel="0" collapsed="false">
      <c r="A10" s="17" t="s">
        <v>61</v>
      </c>
      <c r="B10" s="18" t="n">
        <f aca="false">20000</f>
        <v>20000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1" width="40"/>
    <col collapsed="false" customWidth="true" hidden="false" outlineLevel="0" max="13" min="2" style="1" width="19"/>
  </cols>
  <sheetData>
    <row r="1" customFormat="false" ht="31.5" hidden="false" customHeight="true" outlineLevel="0" collapsed="false">
      <c r="A1" s="13" t="s">
        <v>44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customFormat="false" ht="19.5" hidden="false" customHeight="true" outlineLevel="0" collapsed="false">
      <c r="A2" s="14" t="s">
        <v>83</v>
      </c>
    </row>
    <row r="4" customFormat="false" ht="21.75" hidden="false" customHeight="true" outlineLevel="0" collapsed="false">
      <c r="A4" s="15" t="s">
        <v>84</v>
      </c>
      <c r="B4" s="30" t="s">
        <v>107</v>
      </c>
      <c r="C4" s="16" t="s">
        <v>108</v>
      </c>
      <c r="D4" s="16" t="s">
        <v>109</v>
      </c>
      <c r="E4" s="30" t="s">
        <v>110</v>
      </c>
      <c r="F4" s="16" t="s">
        <v>111</v>
      </c>
      <c r="G4" s="16" t="s">
        <v>112</v>
      </c>
      <c r="H4" s="30" t="s">
        <v>113</v>
      </c>
      <c r="I4" s="16" t="s">
        <v>114</v>
      </c>
      <c r="J4" s="16" t="s">
        <v>115</v>
      </c>
      <c r="K4" s="30" t="s">
        <v>116</v>
      </c>
      <c r="L4" s="16" t="s">
        <v>117</v>
      </c>
      <c r="M4" s="16" t="s">
        <v>118</v>
      </c>
    </row>
    <row r="5" customFormat="false" ht="18" hidden="false" customHeight="false" outlineLevel="0" collapsed="false">
      <c r="A5" s="17" t="s">
        <v>119</v>
      </c>
      <c r="B5" s="31" t="n">
        <f aca="false">1</f>
        <v>1</v>
      </c>
      <c r="C5" s="31" t="n">
        <f aca="false">4</f>
        <v>4</v>
      </c>
      <c r="D5" s="31" t="n">
        <f aca="false">9</f>
        <v>9</v>
      </c>
      <c r="E5" s="31" t="n">
        <f aca="false">14</f>
        <v>14</v>
      </c>
      <c r="F5" s="31" t="n">
        <f aca="false">20</f>
        <v>20</v>
      </c>
      <c r="G5" s="31" t="n">
        <f aca="false">26</f>
        <v>26</v>
      </c>
      <c r="H5" s="31" t="n">
        <f aca="false">32</f>
        <v>32</v>
      </c>
      <c r="I5" s="31" t="n">
        <f aca="false">38</f>
        <v>38</v>
      </c>
      <c r="J5" s="31" t="n">
        <f aca="false">40</f>
        <v>40</v>
      </c>
      <c r="K5" s="31" t="n">
        <f aca="false">40</f>
        <v>40</v>
      </c>
      <c r="L5" s="31" t="n">
        <f aca="false">40</f>
        <v>40</v>
      </c>
      <c r="M5" s="31" t="n">
        <f aca="false">40</f>
        <v>40</v>
      </c>
    </row>
    <row r="6" customFormat="false" ht="18" hidden="false" customHeight="false" outlineLevel="0" collapsed="false">
      <c r="A6" s="19" t="s">
        <v>120</v>
      </c>
      <c r="B6" s="32" t="n">
        <f aca="false">'Base Monthly Projection'!B5*'Year 1 Assumptions'!B5</f>
        <v>99</v>
      </c>
      <c r="C6" s="32" t="n">
        <f aca="false">'Base Monthly Projection'!C5*'Year 1 Assumptions'!B5</f>
        <v>396</v>
      </c>
      <c r="D6" s="32" t="n">
        <f aca="false">'Base Monthly Projection'!D5*'Year 1 Assumptions'!B5</f>
        <v>891</v>
      </c>
      <c r="E6" s="32" t="n">
        <f aca="false">'Base Monthly Projection'!E5*'Year 1 Assumptions'!B5</f>
        <v>1386</v>
      </c>
      <c r="F6" s="32" t="n">
        <f aca="false">'Base Monthly Projection'!F5*'Year 1 Assumptions'!B5</f>
        <v>1980</v>
      </c>
      <c r="G6" s="32" t="n">
        <f aca="false">'Base Monthly Projection'!G5*'Year 1 Assumptions'!B5</f>
        <v>2574</v>
      </c>
      <c r="H6" s="32" t="n">
        <f aca="false">'Base Monthly Projection'!H5*'Year 1 Assumptions'!B5</f>
        <v>3168</v>
      </c>
      <c r="I6" s="32" t="n">
        <f aca="false">'Base Monthly Projection'!I5*'Year 1 Assumptions'!B5</f>
        <v>3762</v>
      </c>
      <c r="J6" s="32" t="n">
        <f aca="false">'Base Monthly Projection'!J5*'Year 1 Assumptions'!B5</f>
        <v>3960</v>
      </c>
      <c r="K6" s="32" t="n">
        <f aca="false">'Base Monthly Projection'!K5*'Year 1 Assumptions'!B5</f>
        <v>3960</v>
      </c>
      <c r="L6" s="32" t="n">
        <f aca="false">'Base Monthly Projection'!L5*'Year 1 Assumptions'!B5</f>
        <v>3960</v>
      </c>
      <c r="M6" s="32" t="n">
        <f aca="false">'Base Monthly Projection'!M5*'Year 1 Assumptions'!B5</f>
        <v>3960</v>
      </c>
    </row>
    <row r="7" customFormat="false" ht="18" hidden="false" customHeight="false" outlineLevel="0" collapsed="false">
      <c r="A7" s="19" t="s">
        <v>121</v>
      </c>
      <c r="B7" s="32" t="n">
        <f aca="false">'Base Monthly Projection'!B5*'Year 1 Assumptions'!B14*'Year 1 Assumptions'!B11</f>
        <v>30</v>
      </c>
      <c r="C7" s="32" t="n">
        <f aca="false">'Base Monthly Projection'!C5*'Year 1 Assumptions'!B14*'Year 1 Assumptions'!B11</f>
        <v>120</v>
      </c>
      <c r="D7" s="32" t="n">
        <f aca="false">'Base Monthly Projection'!D5*'Year 1 Assumptions'!B14*'Year 1 Assumptions'!B11</f>
        <v>270</v>
      </c>
      <c r="E7" s="32" t="n">
        <f aca="false">'Base Monthly Projection'!E5*'Year 1 Assumptions'!B14*'Year 1 Assumptions'!B11</f>
        <v>420</v>
      </c>
      <c r="F7" s="32" t="n">
        <f aca="false">'Base Monthly Projection'!F5*'Year 1 Assumptions'!B14*'Year 1 Assumptions'!B11</f>
        <v>600</v>
      </c>
      <c r="G7" s="32" t="n">
        <f aca="false">'Base Monthly Projection'!G5*'Year 1 Assumptions'!B14*'Year 1 Assumptions'!B11</f>
        <v>780</v>
      </c>
      <c r="H7" s="32" t="n">
        <f aca="false">'Base Monthly Projection'!H5*'Year 1 Assumptions'!B14*'Year 1 Assumptions'!B11</f>
        <v>960</v>
      </c>
      <c r="I7" s="32" t="n">
        <f aca="false">'Base Monthly Projection'!I5*'Year 1 Assumptions'!B14*'Year 1 Assumptions'!B11</f>
        <v>1140</v>
      </c>
      <c r="J7" s="32" t="n">
        <f aca="false">'Base Monthly Projection'!J5*'Year 1 Assumptions'!B14*'Year 1 Assumptions'!B11</f>
        <v>1200</v>
      </c>
      <c r="K7" s="32" t="n">
        <f aca="false">'Base Monthly Projection'!K5*'Year 1 Assumptions'!B14*'Year 1 Assumptions'!B11</f>
        <v>1200</v>
      </c>
      <c r="L7" s="32" t="n">
        <f aca="false">'Base Monthly Projection'!L5*'Year 1 Assumptions'!B14*'Year 1 Assumptions'!B11</f>
        <v>1200</v>
      </c>
      <c r="M7" s="32" t="n">
        <f aca="false">'Base Monthly Projection'!M5*'Year 1 Assumptions'!B14*'Year 1 Assumptions'!B11</f>
        <v>1200</v>
      </c>
    </row>
    <row r="8" customFormat="false" ht="18" hidden="false" customHeight="false" outlineLevel="0" collapsed="false">
      <c r="A8" s="19" t="s">
        <v>122</v>
      </c>
      <c r="B8" s="32" t="n">
        <f aca="false">'Base Projection Controls'!B5/12</f>
        <v>500</v>
      </c>
      <c r="C8" s="32" t="n">
        <f aca="false">'Base Projection Controls'!B5/12</f>
        <v>500</v>
      </c>
      <c r="D8" s="32" t="n">
        <f aca="false">'Base Projection Controls'!B5/12</f>
        <v>500</v>
      </c>
      <c r="E8" s="32" t="n">
        <f aca="false">'Base Projection Controls'!B5/12</f>
        <v>500</v>
      </c>
      <c r="F8" s="32" t="n">
        <f aca="false">'Base Projection Controls'!B5/12</f>
        <v>500</v>
      </c>
      <c r="G8" s="32" t="n">
        <f aca="false">'Base Projection Controls'!B5/12</f>
        <v>500</v>
      </c>
      <c r="H8" s="32" t="n">
        <f aca="false">'Base Projection Controls'!B5/12</f>
        <v>500</v>
      </c>
      <c r="I8" s="32" t="n">
        <f aca="false">'Base Projection Controls'!B5/12</f>
        <v>500</v>
      </c>
      <c r="J8" s="32" t="n">
        <f aca="false">'Base Projection Controls'!B5/12</f>
        <v>500</v>
      </c>
      <c r="K8" s="32" t="n">
        <f aca="false">'Base Projection Controls'!B5/12</f>
        <v>500</v>
      </c>
      <c r="L8" s="32" t="n">
        <f aca="false">'Base Projection Controls'!B5/12</f>
        <v>500</v>
      </c>
      <c r="M8" s="32" t="n">
        <f aca="false">'Base Projection Controls'!B5/12</f>
        <v>500</v>
      </c>
    </row>
    <row r="9" customFormat="false" ht="18" hidden="false" customHeight="false" outlineLevel="0" collapsed="false">
      <c r="A9" s="19" t="s">
        <v>123</v>
      </c>
      <c r="B9" s="32" t="n">
        <f aca="false">'Base Monthly Projection'!B7+'Base Monthly Projection'!B8</f>
        <v>530</v>
      </c>
      <c r="C9" s="32" t="n">
        <f aca="false">'Base Monthly Projection'!C7+'Base Monthly Projection'!C8</f>
        <v>620</v>
      </c>
      <c r="D9" s="32" t="n">
        <f aca="false">'Base Monthly Projection'!D7+'Base Monthly Projection'!D8</f>
        <v>770</v>
      </c>
      <c r="E9" s="32" t="n">
        <f aca="false">'Base Monthly Projection'!E7+'Base Monthly Projection'!E8</f>
        <v>920</v>
      </c>
      <c r="F9" s="32" t="n">
        <f aca="false">'Base Monthly Projection'!F7+'Base Monthly Projection'!F8</f>
        <v>1100</v>
      </c>
      <c r="G9" s="32" t="n">
        <f aca="false">'Base Monthly Projection'!G7+'Base Monthly Projection'!G8</f>
        <v>1280</v>
      </c>
      <c r="H9" s="32" t="n">
        <f aca="false">'Base Monthly Projection'!H7+'Base Monthly Projection'!H8</f>
        <v>1460</v>
      </c>
      <c r="I9" s="32" t="n">
        <f aca="false">'Base Monthly Projection'!I7+'Base Monthly Projection'!I8</f>
        <v>1640</v>
      </c>
      <c r="J9" s="32" t="n">
        <f aca="false">'Base Monthly Projection'!J7+'Base Monthly Projection'!J8</f>
        <v>1700</v>
      </c>
      <c r="K9" s="32" t="n">
        <f aca="false">'Base Monthly Projection'!K7+'Base Monthly Projection'!K8</f>
        <v>1700</v>
      </c>
      <c r="L9" s="32" t="n">
        <f aca="false">'Base Monthly Projection'!L7+'Base Monthly Projection'!L8</f>
        <v>1700</v>
      </c>
      <c r="M9" s="32" t="n">
        <f aca="false">'Base Monthly Projection'!M7+'Base Monthly Projection'!M8</f>
        <v>1700</v>
      </c>
    </row>
    <row r="10" customFormat="false" ht="18" hidden="false" customHeight="false" outlineLevel="0" collapsed="false">
      <c r="A10" s="19" t="s">
        <v>124</v>
      </c>
      <c r="B10" s="32" t="n">
        <f aca="false">'Base Monthly Projection'!B6-'Base Monthly Projection'!B9</f>
        <v>-431</v>
      </c>
      <c r="C10" s="32" t="n">
        <f aca="false">'Base Monthly Projection'!C6-'Base Monthly Projection'!C9</f>
        <v>-224</v>
      </c>
      <c r="D10" s="32" t="n">
        <f aca="false">'Base Monthly Projection'!D6-'Base Monthly Projection'!D9</f>
        <v>121</v>
      </c>
      <c r="E10" s="32" t="n">
        <f aca="false">'Base Monthly Projection'!E6-'Base Monthly Projection'!E9</f>
        <v>466</v>
      </c>
      <c r="F10" s="32" t="n">
        <f aca="false">'Base Monthly Projection'!F6-'Base Monthly Projection'!F9</f>
        <v>880</v>
      </c>
      <c r="G10" s="32" t="n">
        <f aca="false">'Base Monthly Projection'!G6-'Base Monthly Projection'!G9</f>
        <v>1294</v>
      </c>
      <c r="H10" s="32" t="n">
        <f aca="false">'Base Monthly Projection'!H6-'Base Monthly Projection'!H9</f>
        <v>1708</v>
      </c>
      <c r="I10" s="32" t="n">
        <f aca="false">'Base Monthly Projection'!I6-'Base Monthly Projection'!I9</f>
        <v>2122</v>
      </c>
      <c r="J10" s="32" t="n">
        <f aca="false">'Base Monthly Projection'!J6-'Base Monthly Projection'!J9</f>
        <v>2260</v>
      </c>
      <c r="K10" s="32" t="n">
        <f aca="false">'Base Monthly Projection'!K6-'Base Monthly Projection'!K9</f>
        <v>2260</v>
      </c>
      <c r="L10" s="32" t="n">
        <f aca="false">'Base Monthly Projection'!L6-'Base Monthly Projection'!L9</f>
        <v>2260</v>
      </c>
      <c r="M10" s="32" t="n">
        <f aca="false">'Base Monthly Projection'!M6-'Base Monthly Projection'!M9</f>
        <v>2260</v>
      </c>
    </row>
    <row r="11" customFormat="false" ht="18" hidden="false" customHeight="false" outlineLevel="0" collapsed="false">
      <c r="A11" s="19" t="s">
        <v>125</v>
      </c>
      <c r="B11" s="32" t="n">
        <f aca="false">IF(IF(IF(ISERROR(DATE(2027,1,1)=DATE(YEAR('Base Projection Controls'!B6),MONTH('Base Projection Controls'!B6),1)),DATE(2027,1,1)=DATE(YEAR('Base Projection Controls'!B6),MONTH('Base Projection Controls'!B6),1),IF(DATE(YEAR('Base Projection Controls'!B6),MONTH('Base Projection Controls'!B6),1)="","",DATE(2027,1,1)=DATE(YEAR('Base Projection Controls'!B6),MONTH('Base Projection Controls'!B6),1)))="",FALSE(),IF(ISERROR(DATE(2027,1,1)=DATE(YEAR('Base Projection Controls'!B6),MONTH('Base Projection Controls'!B6),1)),DATE(2027,1,1)=DATE(YEAR('Base Projection Controls'!B6),MONTH('Base Projection Controls'!B6),1),IF(DATE(YEAR('Base Projection Controls'!B6),MONTH('Base Projection Controls'!B6),1)="","",DATE(2027,1,1)=DATE(YEAR('Base Projection Controls'!B6),MONTH('Base Projection Controls'!B6),1)))),IF('Year 1 Assumptions'!B7="","",'Year 1 Assumptions'!B7),IF('Model inputs'!B6="","",'Model inputs'!B6))</f>
        <v>20000</v>
      </c>
      <c r="C11" s="32" t="n">
        <f aca="false">IF(IF(IF(ISERROR(DATE(2027,2,1)=DATE(YEAR('Base Projection Controls'!B6),MONTH('Base Projection Controls'!B6),1)),DATE(2027,2,1)=DATE(YEAR('Base Projection Controls'!B6),MONTH('Base Projection Controls'!B6),1),IF(DATE(YEAR('Base Projection Controls'!B6),MONTH('Base Projection Controls'!B6),1)="","",DATE(2027,2,1)=DATE(YEAR('Base Projection Controls'!B6),MONTH('Base Projection Controls'!B6),1)))="",FALSE(),IF(ISERROR(DATE(2027,2,1)=DATE(YEAR('Base Projection Controls'!B6),MONTH('Base Projection Controls'!B6),1)),DATE(2027,2,1)=DATE(YEAR('Base Projection Controls'!B6),MONTH('Base Projection Controls'!B6),1),IF(DATE(YEAR('Base Projection Controls'!B6),MONTH('Base Projection Controls'!B6),1)="","",DATE(2027,2,1)=DATE(YEAR('Base Projection Controls'!B6),MONTH('Base Projection Controls'!B6),1)))),IF('Year 1 Assumptions'!B7="","",'Year 1 Assumptions'!B7),IF('Base Monthly Projection'!B12="","",'Base Monthly Projection'!B12))</f>
        <v>19569</v>
      </c>
      <c r="D11" s="32" t="n">
        <f aca="false">IF(IF(IF(ISERROR(DATE(2027,3,1)=DATE(YEAR('Base Projection Controls'!B6),MONTH('Base Projection Controls'!B6),1)),DATE(2027,3,1)=DATE(YEAR('Base Projection Controls'!B6),MONTH('Base Projection Controls'!B6),1),IF(DATE(YEAR('Base Projection Controls'!B6),MONTH('Base Projection Controls'!B6),1)="","",DATE(2027,3,1)=DATE(YEAR('Base Projection Controls'!B6),MONTH('Base Projection Controls'!B6),1)))="",FALSE(),IF(ISERROR(DATE(2027,3,1)=DATE(YEAR('Base Projection Controls'!B6),MONTH('Base Projection Controls'!B6),1)),DATE(2027,3,1)=DATE(YEAR('Base Projection Controls'!B6),MONTH('Base Projection Controls'!B6),1),IF(DATE(YEAR('Base Projection Controls'!B6),MONTH('Base Projection Controls'!B6),1)="","",DATE(2027,3,1)=DATE(YEAR('Base Projection Controls'!B6),MONTH('Base Projection Controls'!B6),1)))),IF('Year 1 Assumptions'!B7="","",'Year 1 Assumptions'!B7),IF('Base Monthly Projection'!C12="","",'Base Monthly Projection'!C12))</f>
        <v>19345</v>
      </c>
      <c r="E11" s="32" t="n">
        <f aca="false">IF(IF(IF(ISERROR(DATE(2027,4,1)=DATE(YEAR('Base Projection Controls'!B6),MONTH('Base Projection Controls'!B6),1)),DATE(2027,4,1)=DATE(YEAR('Base Projection Controls'!B6),MONTH('Base Projection Controls'!B6),1),IF(DATE(YEAR('Base Projection Controls'!B6),MONTH('Base Projection Controls'!B6),1)="","",DATE(2027,4,1)=DATE(YEAR('Base Projection Controls'!B6),MONTH('Base Projection Controls'!B6),1)))="",FALSE(),IF(ISERROR(DATE(2027,4,1)=DATE(YEAR('Base Projection Controls'!B6),MONTH('Base Projection Controls'!B6),1)),DATE(2027,4,1)=DATE(YEAR('Base Projection Controls'!B6),MONTH('Base Projection Controls'!B6),1),IF(DATE(YEAR('Base Projection Controls'!B6),MONTH('Base Projection Controls'!B6),1)="","",DATE(2027,4,1)=DATE(YEAR('Base Projection Controls'!B6),MONTH('Base Projection Controls'!B6),1)))),IF('Year 1 Assumptions'!B7="","",'Year 1 Assumptions'!B7),IF('Base Monthly Projection'!D12="","",'Base Monthly Projection'!D12))</f>
        <v>19466</v>
      </c>
      <c r="F11" s="32" t="n">
        <f aca="false">IF(IF(IF(ISERROR(DATE(2027,5,1)=DATE(YEAR('Base Projection Controls'!B6),MONTH('Base Projection Controls'!B6),1)),DATE(2027,5,1)=DATE(YEAR('Base Projection Controls'!B6),MONTH('Base Projection Controls'!B6),1),IF(DATE(YEAR('Base Projection Controls'!B6),MONTH('Base Projection Controls'!B6),1)="","",DATE(2027,5,1)=DATE(YEAR('Base Projection Controls'!B6),MONTH('Base Projection Controls'!B6),1)))="",FALSE(),IF(ISERROR(DATE(2027,5,1)=DATE(YEAR('Base Projection Controls'!B6),MONTH('Base Projection Controls'!B6),1)),DATE(2027,5,1)=DATE(YEAR('Base Projection Controls'!B6),MONTH('Base Projection Controls'!B6),1),IF(DATE(YEAR('Base Projection Controls'!B6),MONTH('Base Projection Controls'!B6),1)="","",DATE(2027,5,1)=DATE(YEAR('Base Projection Controls'!B6),MONTH('Base Projection Controls'!B6),1)))),IF('Year 1 Assumptions'!B7="","",'Year 1 Assumptions'!B7),IF('Base Monthly Projection'!E12="","",'Base Monthly Projection'!E12))</f>
        <v>19932</v>
      </c>
      <c r="G11" s="32" t="n">
        <f aca="false">IF(IF(IF(ISERROR(DATE(2027,6,1)=DATE(YEAR('Base Projection Controls'!B6),MONTH('Base Projection Controls'!B6),1)),DATE(2027,6,1)=DATE(YEAR('Base Projection Controls'!B6),MONTH('Base Projection Controls'!B6),1),IF(DATE(YEAR('Base Projection Controls'!B6),MONTH('Base Projection Controls'!B6),1)="","",DATE(2027,6,1)=DATE(YEAR('Base Projection Controls'!B6),MONTH('Base Projection Controls'!B6),1)))="",FALSE(),IF(ISERROR(DATE(2027,6,1)=DATE(YEAR('Base Projection Controls'!B6),MONTH('Base Projection Controls'!B6),1)),DATE(2027,6,1)=DATE(YEAR('Base Projection Controls'!B6),MONTH('Base Projection Controls'!B6),1),IF(DATE(YEAR('Base Projection Controls'!B6),MONTH('Base Projection Controls'!B6),1)="","",DATE(2027,6,1)=DATE(YEAR('Base Projection Controls'!B6),MONTH('Base Projection Controls'!B6),1)))),IF('Year 1 Assumptions'!B7="","",'Year 1 Assumptions'!B7),IF('Base Monthly Projection'!F12="","",'Base Monthly Projection'!F12))</f>
        <v>20812</v>
      </c>
      <c r="H11" s="32" t="n">
        <f aca="false">IF(IF(IF(ISERROR(DATE(2027,7,1)=DATE(YEAR('Base Projection Controls'!B6),MONTH('Base Projection Controls'!B6),1)),DATE(2027,7,1)=DATE(YEAR('Base Projection Controls'!B6),MONTH('Base Projection Controls'!B6),1),IF(DATE(YEAR('Base Projection Controls'!B6),MONTH('Base Projection Controls'!B6),1)="","",DATE(2027,7,1)=DATE(YEAR('Base Projection Controls'!B6),MONTH('Base Projection Controls'!B6),1)))="",FALSE(),IF(ISERROR(DATE(2027,7,1)=DATE(YEAR('Base Projection Controls'!B6),MONTH('Base Projection Controls'!B6),1)),DATE(2027,7,1)=DATE(YEAR('Base Projection Controls'!B6),MONTH('Base Projection Controls'!B6),1),IF(DATE(YEAR('Base Projection Controls'!B6),MONTH('Base Projection Controls'!B6),1)="","",DATE(2027,7,1)=DATE(YEAR('Base Projection Controls'!B6),MONTH('Base Projection Controls'!B6),1)))),IF('Year 1 Assumptions'!B7="","",'Year 1 Assumptions'!B7),IF('Base Monthly Projection'!G12="","",'Base Monthly Projection'!G12))</f>
        <v>22106</v>
      </c>
      <c r="I11" s="32" t="n">
        <f aca="false">IF(IF(IF(ISERROR(DATE(2027,8,1)=DATE(YEAR('Base Projection Controls'!B6),MONTH('Base Projection Controls'!B6),1)),DATE(2027,8,1)=DATE(YEAR('Base Projection Controls'!B6),MONTH('Base Projection Controls'!B6),1),IF(DATE(YEAR('Base Projection Controls'!B6),MONTH('Base Projection Controls'!B6),1)="","",DATE(2027,8,1)=DATE(YEAR('Base Projection Controls'!B6),MONTH('Base Projection Controls'!B6),1)))="",FALSE(),IF(ISERROR(DATE(2027,8,1)=DATE(YEAR('Base Projection Controls'!B6),MONTH('Base Projection Controls'!B6),1)),DATE(2027,8,1)=DATE(YEAR('Base Projection Controls'!B6),MONTH('Base Projection Controls'!B6),1),IF(DATE(YEAR('Base Projection Controls'!B6),MONTH('Base Projection Controls'!B6),1)="","",DATE(2027,8,1)=DATE(YEAR('Base Projection Controls'!B6),MONTH('Base Projection Controls'!B6),1)))),IF('Year 1 Assumptions'!B7="","",'Year 1 Assumptions'!B7),IF('Base Monthly Projection'!H12="","",'Base Monthly Projection'!H12))</f>
        <v>23814</v>
      </c>
      <c r="J11" s="32" t="n">
        <f aca="false">IF(IF(IF(ISERROR(DATE(2027,9,1)=DATE(YEAR('Base Projection Controls'!B6),MONTH('Base Projection Controls'!B6),1)),DATE(2027,9,1)=DATE(YEAR('Base Projection Controls'!B6),MONTH('Base Projection Controls'!B6),1),IF(DATE(YEAR('Base Projection Controls'!B6),MONTH('Base Projection Controls'!B6),1)="","",DATE(2027,9,1)=DATE(YEAR('Base Projection Controls'!B6),MONTH('Base Projection Controls'!B6),1)))="",FALSE(),IF(ISERROR(DATE(2027,9,1)=DATE(YEAR('Base Projection Controls'!B6),MONTH('Base Projection Controls'!B6),1)),DATE(2027,9,1)=DATE(YEAR('Base Projection Controls'!B6),MONTH('Base Projection Controls'!B6),1),IF(DATE(YEAR('Base Projection Controls'!B6),MONTH('Base Projection Controls'!B6),1)="","",DATE(2027,9,1)=DATE(YEAR('Base Projection Controls'!B6),MONTH('Base Projection Controls'!B6),1)))),IF('Year 1 Assumptions'!B7="","",'Year 1 Assumptions'!B7),IF('Base Monthly Projection'!I12="","",'Base Monthly Projection'!I12))</f>
        <v>25936</v>
      </c>
      <c r="K11" s="32" t="n">
        <f aca="false">IF(IF(IF(ISERROR(DATE(2027,10,1)=DATE(YEAR('Base Projection Controls'!B6),MONTH('Base Projection Controls'!B6),1)),DATE(2027,10,1)=DATE(YEAR('Base Projection Controls'!B6),MONTH('Base Projection Controls'!B6),1),IF(DATE(YEAR('Base Projection Controls'!B6),MONTH('Base Projection Controls'!B6),1)="","",DATE(2027,10,1)=DATE(YEAR('Base Projection Controls'!B6),MONTH('Base Projection Controls'!B6),1)))="",FALSE(),IF(ISERROR(DATE(2027,10,1)=DATE(YEAR('Base Projection Controls'!B6),MONTH('Base Projection Controls'!B6),1)),DATE(2027,10,1)=DATE(YEAR('Base Projection Controls'!B6),MONTH('Base Projection Controls'!B6),1),IF(DATE(YEAR('Base Projection Controls'!B6),MONTH('Base Projection Controls'!B6),1)="","",DATE(2027,10,1)=DATE(YEAR('Base Projection Controls'!B6),MONTH('Base Projection Controls'!B6),1)))),IF('Year 1 Assumptions'!B7="","",'Year 1 Assumptions'!B7),IF('Base Monthly Projection'!J12="","",'Base Monthly Projection'!J12))</f>
        <v>28196</v>
      </c>
      <c r="L11" s="32" t="n">
        <f aca="false">IF(IF(IF(ISERROR(DATE(2027,11,1)=DATE(YEAR('Base Projection Controls'!B6),MONTH('Base Projection Controls'!B6),1)),DATE(2027,11,1)=DATE(YEAR('Base Projection Controls'!B6),MONTH('Base Projection Controls'!B6),1),IF(DATE(YEAR('Base Projection Controls'!B6),MONTH('Base Projection Controls'!B6),1)="","",DATE(2027,11,1)=DATE(YEAR('Base Projection Controls'!B6),MONTH('Base Projection Controls'!B6),1)))="",FALSE(),IF(ISERROR(DATE(2027,11,1)=DATE(YEAR('Base Projection Controls'!B6),MONTH('Base Projection Controls'!B6),1)),DATE(2027,11,1)=DATE(YEAR('Base Projection Controls'!B6),MONTH('Base Projection Controls'!B6),1),IF(DATE(YEAR('Base Projection Controls'!B6),MONTH('Base Projection Controls'!B6),1)="","",DATE(2027,11,1)=DATE(YEAR('Base Projection Controls'!B6),MONTH('Base Projection Controls'!B6),1)))),IF('Year 1 Assumptions'!B7="","",'Year 1 Assumptions'!B7),IF('Base Monthly Projection'!K12="","",'Base Monthly Projection'!K12))</f>
        <v>30456</v>
      </c>
      <c r="M11" s="32" t="n">
        <f aca="false">IF(IF(IF(ISERROR(DATE(2027,12,1)=DATE(YEAR('Base Projection Controls'!B6),MONTH('Base Projection Controls'!B6),1)),DATE(2027,12,1)=DATE(YEAR('Base Projection Controls'!B6),MONTH('Base Projection Controls'!B6),1),IF(DATE(YEAR('Base Projection Controls'!B6),MONTH('Base Projection Controls'!B6),1)="","",DATE(2027,12,1)=DATE(YEAR('Base Projection Controls'!B6),MONTH('Base Projection Controls'!B6),1)))="",FALSE(),IF(ISERROR(DATE(2027,12,1)=DATE(YEAR('Base Projection Controls'!B6),MONTH('Base Projection Controls'!B6),1)),DATE(2027,12,1)=DATE(YEAR('Base Projection Controls'!B6),MONTH('Base Projection Controls'!B6),1),IF(DATE(YEAR('Base Projection Controls'!B6),MONTH('Base Projection Controls'!B6),1)="","",DATE(2027,12,1)=DATE(YEAR('Base Projection Controls'!B6),MONTH('Base Projection Controls'!B6),1)))),IF('Year 1 Assumptions'!B7="","",'Year 1 Assumptions'!B7),IF('Base Monthly Projection'!L12="","",'Base Monthly Projection'!L12))</f>
        <v>32716</v>
      </c>
    </row>
    <row r="12" customFormat="false" ht="18" hidden="false" customHeight="false" outlineLevel="0" collapsed="false">
      <c r="A12" s="19" t="s">
        <v>126</v>
      </c>
      <c r="B12" s="32" t="n">
        <f aca="false">'Base Monthly Projection'!B11+'Base Monthly Projection'!B10</f>
        <v>19569</v>
      </c>
      <c r="C12" s="32" t="n">
        <f aca="false">'Base Monthly Projection'!C11+'Base Monthly Projection'!C10</f>
        <v>19345</v>
      </c>
      <c r="D12" s="32" t="n">
        <f aca="false">'Base Monthly Projection'!D11+'Base Monthly Projection'!D10</f>
        <v>19466</v>
      </c>
      <c r="E12" s="32" t="n">
        <f aca="false">'Base Monthly Projection'!E11+'Base Monthly Projection'!E10</f>
        <v>19932</v>
      </c>
      <c r="F12" s="32" t="n">
        <f aca="false">'Base Monthly Projection'!F11+'Base Monthly Projection'!F10</f>
        <v>20812</v>
      </c>
      <c r="G12" s="32" t="n">
        <f aca="false">'Base Monthly Projection'!G11+'Base Monthly Projection'!G10</f>
        <v>22106</v>
      </c>
      <c r="H12" s="32" t="n">
        <f aca="false">'Base Monthly Projection'!H11+'Base Monthly Projection'!H10</f>
        <v>23814</v>
      </c>
      <c r="I12" s="32" t="n">
        <f aca="false">'Base Monthly Projection'!I11+'Base Monthly Projection'!I10</f>
        <v>25936</v>
      </c>
      <c r="J12" s="32" t="n">
        <f aca="false">'Base Monthly Projection'!J11+'Base Monthly Projection'!J10</f>
        <v>28196</v>
      </c>
      <c r="K12" s="32" t="n">
        <f aca="false">'Base Monthly Projection'!K11+'Base Monthly Projection'!K10</f>
        <v>30456</v>
      </c>
      <c r="L12" s="32" t="n">
        <f aca="false">'Base Monthly Projection'!L11+'Base Monthly Projection'!L10</f>
        <v>32716</v>
      </c>
      <c r="M12" s="32" t="n">
        <f aca="false">'Base Monthly Projection'!M11+'Base Monthly Projection'!M10</f>
        <v>34976</v>
      </c>
    </row>
    <row r="13" customFormat="false" ht="18" hidden="false" customHeight="false" outlineLevel="0" collapsed="false">
      <c r="A13" s="19" t="s">
        <v>127</v>
      </c>
      <c r="B13" s="32" t="n">
        <f aca="false">IF(IF(IF(IF(ISERROR(DATE(2027,1,1)=DATE(YEAR('Base Projection Controls'!B6),MONTH('Base Projection Controls'!B6),1)),DATE(2027,1,1)=DATE(YEAR('Base Projection Controls'!B6),MONTH('Base Projection Controls'!B6),1),IF(DATE(YEAR('Base Projection Controls'!B6),MONTH('Base Projection Controls'!B6),1)="","",DATE(2027,1,1)=DATE(YEAR('Base Projection Controls'!B6),MONTH('Base Projection Controls'!B6),1)))="",FALSE(),IF(ISERROR(DATE(2027,1,1)=DATE(YEAR('Base Projection Controls'!B6),MONTH('Base Projection Controls'!B6),1)),DATE(2027,1,1)=DATE(YEAR('Base Projection Controls'!B6),MONTH('Base Projection Controls'!B6),1),IF(DATE(YEAR('Base Projection Controls'!B6),MONTH('Base Projection Controls'!B6),1)="","",DATE(2027,1,1)=DATE(YEAR('Base Projection Controls'!B6),MONTH('Base Projection Controls'!B6),1)))),0,IF('Model inputs'!B64="","",'Model inputs'!B64))="",0,IF(IF(IF(ISERROR(DATE(2027,1,1)=DATE(YEAR('Base Projection Controls'!B6),MONTH('Base Projection Controls'!B6),1)),DATE(2027,1,1)=DATE(YEAR('Base Projection Controls'!B6),MONTH('Base Projection Controls'!B6),1),IF(DATE(YEAR('Base Projection Controls'!B6),MONTH('Base Projection Controls'!B6),1)="","",DATE(2027,1,1)=DATE(YEAR('Base Projection Controls'!B6),MONTH('Base Projection Controls'!B6),1)))="",FALSE(),IF(ISERROR(DATE(2027,1,1)=DATE(YEAR('Base Projection Controls'!B6),MONTH('Base Projection Controls'!B6),1)),DATE(2027,1,1)=DATE(YEAR('Base Projection Controls'!B6),MONTH('Base Projection Controls'!B6),1),IF(DATE(YEAR('Base Projection Controls'!B6),MONTH('Base Projection Controls'!B6),1)="","",DATE(2027,1,1)=DATE(YEAR('Base Projection Controls'!B6),MONTH('Base Projection Controls'!B6),1)))),0,IF('Model inputs'!B64="","",'Model inputs'!B64)))+'Base Monthly Projection'!B10</f>
        <v>-431</v>
      </c>
      <c r="C13" s="32" t="n">
        <f aca="false">IF(IF(IF(IF(ISERROR(DATE(2027,2,1)=DATE(YEAR('Base Projection Controls'!B6),MONTH('Base Projection Controls'!B6),1)),DATE(2027,2,1)=DATE(YEAR('Base Projection Controls'!B6),MONTH('Base Projection Controls'!B6),1),IF(DATE(YEAR('Base Projection Controls'!B6),MONTH('Base Projection Controls'!B6),1)="","",DATE(2027,2,1)=DATE(YEAR('Base Projection Controls'!B6),MONTH('Base Projection Controls'!B6),1)))="",FALSE(),IF(ISERROR(DATE(2027,2,1)=DATE(YEAR('Base Projection Controls'!B6),MONTH('Base Projection Controls'!B6),1)),DATE(2027,2,1)=DATE(YEAR('Base Projection Controls'!B6),MONTH('Base Projection Controls'!B6),1),IF(DATE(YEAR('Base Projection Controls'!B6),MONTH('Base Projection Controls'!B6),1)="","",DATE(2027,2,1)=DATE(YEAR('Base Projection Controls'!B6),MONTH('Base Projection Controls'!B6),1)))),0,IF('Base Monthly Projection'!B13="","",'Base Monthly Projection'!B13))="",0,IF(IF(IF(ISERROR(DATE(2027,2,1)=DATE(YEAR('Base Projection Controls'!B6),MONTH('Base Projection Controls'!B6),1)),DATE(2027,2,1)=DATE(YEAR('Base Projection Controls'!B6),MONTH('Base Projection Controls'!B6),1),IF(DATE(YEAR('Base Projection Controls'!B6),MONTH('Base Projection Controls'!B6),1)="","",DATE(2027,2,1)=DATE(YEAR('Base Projection Controls'!B6),MONTH('Base Projection Controls'!B6),1)))="",FALSE(),IF(ISERROR(DATE(2027,2,1)=DATE(YEAR('Base Projection Controls'!B6),MONTH('Base Projection Controls'!B6),1)),DATE(2027,2,1)=DATE(YEAR('Base Projection Controls'!B6),MONTH('Base Projection Controls'!B6),1),IF(DATE(YEAR('Base Projection Controls'!B6),MONTH('Base Projection Controls'!B6),1)="","",DATE(2027,2,1)=DATE(YEAR('Base Projection Controls'!B6),MONTH('Base Projection Controls'!B6),1)))),0,IF('Base Monthly Projection'!B13="","",'Base Monthly Projection'!B13)))+'Base Monthly Projection'!C10</f>
        <v>-655</v>
      </c>
      <c r="D13" s="32" t="n">
        <f aca="false">IF(IF(IF(IF(ISERROR(DATE(2027,3,1)=DATE(YEAR('Base Projection Controls'!B6),MONTH('Base Projection Controls'!B6),1)),DATE(2027,3,1)=DATE(YEAR('Base Projection Controls'!B6),MONTH('Base Projection Controls'!B6),1),IF(DATE(YEAR('Base Projection Controls'!B6),MONTH('Base Projection Controls'!B6),1)="","",DATE(2027,3,1)=DATE(YEAR('Base Projection Controls'!B6),MONTH('Base Projection Controls'!B6),1)))="",FALSE(),IF(ISERROR(DATE(2027,3,1)=DATE(YEAR('Base Projection Controls'!B6),MONTH('Base Projection Controls'!B6),1)),DATE(2027,3,1)=DATE(YEAR('Base Projection Controls'!B6),MONTH('Base Projection Controls'!B6),1),IF(DATE(YEAR('Base Projection Controls'!B6),MONTH('Base Projection Controls'!B6),1)="","",DATE(2027,3,1)=DATE(YEAR('Base Projection Controls'!B6),MONTH('Base Projection Controls'!B6),1)))),0,IF('Base Monthly Projection'!C13="","",'Base Monthly Projection'!C13))="",0,IF(IF(IF(ISERROR(DATE(2027,3,1)=DATE(YEAR('Base Projection Controls'!B6),MONTH('Base Projection Controls'!B6),1)),DATE(2027,3,1)=DATE(YEAR('Base Projection Controls'!B6),MONTH('Base Projection Controls'!B6),1),IF(DATE(YEAR('Base Projection Controls'!B6),MONTH('Base Projection Controls'!B6),1)="","",DATE(2027,3,1)=DATE(YEAR('Base Projection Controls'!B6),MONTH('Base Projection Controls'!B6),1)))="",FALSE(),IF(ISERROR(DATE(2027,3,1)=DATE(YEAR('Base Projection Controls'!B6),MONTH('Base Projection Controls'!B6),1)),DATE(2027,3,1)=DATE(YEAR('Base Projection Controls'!B6),MONTH('Base Projection Controls'!B6),1),IF(DATE(YEAR('Base Projection Controls'!B6),MONTH('Base Projection Controls'!B6),1)="","",DATE(2027,3,1)=DATE(YEAR('Base Projection Controls'!B6),MONTH('Base Projection Controls'!B6),1)))),0,IF('Base Monthly Projection'!C13="","",'Base Monthly Projection'!C13)))+'Base Monthly Projection'!D10</f>
        <v>-534</v>
      </c>
      <c r="E13" s="32" t="n">
        <f aca="false">IF(IF(IF(IF(ISERROR(DATE(2027,4,1)=DATE(YEAR('Base Projection Controls'!B6),MONTH('Base Projection Controls'!B6),1)),DATE(2027,4,1)=DATE(YEAR('Base Projection Controls'!B6),MONTH('Base Projection Controls'!B6),1),IF(DATE(YEAR('Base Projection Controls'!B6),MONTH('Base Projection Controls'!B6),1)="","",DATE(2027,4,1)=DATE(YEAR('Base Projection Controls'!B6),MONTH('Base Projection Controls'!B6),1)))="",FALSE(),IF(ISERROR(DATE(2027,4,1)=DATE(YEAR('Base Projection Controls'!B6),MONTH('Base Projection Controls'!B6),1)),DATE(2027,4,1)=DATE(YEAR('Base Projection Controls'!B6),MONTH('Base Projection Controls'!B6),1),IF(DATE(YEAR('Base Projection Controls'!B6),MONTH('Base Projection Controls'!B6),1)="","",DATE(2027,4,1)=DATE(YEAR('Base Projection Controls'!B6),MONTH('Base Projection Controls'!B6),1)))),0,IF('Base Monthly Projection'!D13="","",'Base Monthly Projection'!D13))="",0,IF(IF(IF(ISERROR(DATE(2027,4,1)=DATE(YEAR('Base Projection Controls'!B6),MONTH('Base Projection Controls'!B6),1)),DATE(2027,4,1)=DATE(YEAR('Base Projection Controls'!B6),MONTH('Base Projection Controls'!B6),1),IF(DATE(YEAR('Base Projection Controls'!B6),MONTH('Base Projection Controls'!B6),1)="","",DATE(2027,4,1)=DATE(YEAR('Base Projection Controls'!B6),MONTH('Base Projection Controls'!B6),1)))="",FALSE(),IF(ISERROR(DATE(2027,4,1)=DATE(YEAR('Base Projection Controls'!B6),MONTH('Base Projection Controls'!B6),1)),DATE(2027,4,1)=DATE(YEAR('Base Projection Controls'!B6),MONTH('Base Projection Controls'!B6),1),IF(DATE(YEAR('Base Projection Controls'!B6),MONTH('Base Projection Controls'!B6),1)="","",DATE(2027,4,1)=DATE(YEAR('Base Projection Controls'!B6),MONTH('Base Projection Controls'!B6),1)))),0,IF('Base Monthly Projection'!D13="","",'Base Monthly Projection'!D13)))+'Base Monthly Projection'!E10</f>
        <v>-68</v>
      </c>
      <c r="F13" s="32" t="n">
        <f aca="false">IF(IF(IF(IF(ISERROR(DATE(2027,5,1)=DATE(YEAR('Base Projection Controls'!B6),MONTH('Base Projection Controls'!B6),1)),DATE(2027,5,1)=DATE(YEAR('Base Projection Controls'!B6),MONTH('Base Projection Controls'!B6),1),IF(DATE(YEAR('Base Projection Controls'!B6),MONTH('Base Projection Controls'!B6),1)="","",DATE(2027,5,1)=DATE(YEAR('Base Projection Controls'!B6),MONTH('Base Projection Controls'!B6),1)))="",FALSE(),IF(ISERROR(DATE(2027,5,1)=DATE(YEAR('Base Projection Controls'!B6),MONTH('Base Projection Controls'!B6),1)),DATE(2027,5,1)=DATE(YEAR('Base Projection Controls'!B6),MONTH('Base Projection Controls'!B6),1),IF(DATE(YEAR('Base Projection Controls'!B6),MONTH('Base Projection Controls'!B6),1)="","",DATE(2027,5,1)=DATE(YEAR('Base Projection Controls'!B6),MONTH('Base Projection Controls'!B6),1)))),0,IF('Base Monthly Projection'!E13="","",'Base Monthly Projection'!E13))="",0,IF(IF(IF(ISERROR(DATE(2027,5,1)=DATE(YEAR('Base Projection Controls'!B6),MONTH('Base Projection Controls'!B6),1)),DATE(2027,5,1)=DATE(YEAR('Base Projection Controls'!B6),MONTH('Base Projection Controls'!B6),1),IF(DATE(YEAR('Base Projection Controls'!B6),MONTH('Base Projection Controls'!B6),1)="","",DATE(2027,5,1)=DATE(YEAR('Base Projection Controls'!B6),MONTH('Base Projection Controls'!B6),1)))="",FALSE(),IF(ISERROR(DATE(2027,5,1)=DATE(YEAR('Base Projection Controls'!B6),MONTH('Base Projection Controls'!B6),1)),DATE(2027,5,1)=DATE(YEAR('Base Projection Controls'!B6),MONTH('Base Projection Controls'!B6),1),IF(DATE(YEAR('Base Projection Controls'!B6),MONTH('Base Projection Controls'!B6),1)="","",DATE(2027,5,1)=DATE(YEAR('Base Projection Controls'!B6),MONTH('Base Projection Controls'!B6),1)))),0,IF('Base Monthly Projection'!E13="","",'Base Monthly Projection'!E13)))+'Base Monthly Projection'!F10</f>
        <v>812</v>
      </c>
      <c r="G13" s="32" t="n">
        <f aca="false">IF(IF(IF(IF(ISERROR(DATE(2027,6,1)=DATE(YEAR('Base Projection Controls'!B6),MONTH('Base Projection Controls'!B6),1)),DATE(2027,6,1)=DATE(YEAR('Base Projection Controls'!B6),MONTH('Base Projection Controls'!B6),1),IF(DATE(YEAR('Base Projection Controls'!B6),MONTH('Base Projection Controls'!B6),1)="","",DATE(2027,6,1)=DATE(YEAR('Base Projection Controls'!B6),MONTH('Base Projection Controls'!B6),1)))="",FALSE(),IF(ISERROR(DATE(2027,6,1)=DATE(YEAR('Base Projection Controls'!B6),MONTH('Base Projection Controls'!B6),1)),DATE(2027,6,1)=DATE(YEAR('Base Projection Controls'!B6),MONTH('Base Projection Controls'!B6),1),IF(DATE(YEAR('Base Projection Controls'!B6),MONTH('Base Projection Controls'!B6),1)="","",DATE(2027,6,1)=DATE(YEAR('Base Projection Controls'!B6),MONTH('Base Projection Controls'!B6),1)))),0,IF('Base Monthly Projection'!F13="","",'Base Monthly Projection'!F13))="",0,IF(IF(IF(ISERROR(DATE(2027,6,1)=DATE(YEAR('Base Projection Controls'!B6),MONTH('Base Projection Controls'!B6),1)),DATE(2027,6,1)=DATE(YEAR('Base Projection Controls'!B6),MONTH('Base Projection Controls'!B6),1),IF(DATE(YEAR('Base Projection Controls'!B6),MONTH('Base Projection Controls'!B6),1)="","",DATE(2027,6,1)=DATE(YEAR('Base Projection Controls'!B6),MONTH('Base Projection Controls'!B6),1)))="",FALSE(),IF(ISERROR(DATE(2027,6,1)=DATE(YEAR('Base Projection Controls'!B6),MONTH('Base Projection Controls'!B6),1)),DATE(2027,6,1)=DATE(YEAR('Base Projection Controls'!B6),MONTH('Base Projection Controls'!B6),1),IF(DATE(YEAR('Base Projection Controls'!B6),MONTH('Base Projection Controls'!B6),1)="","",DATE(2027,6,1)=DATE(YEAR('Base Projection Controls'!B6),MONTH('Base Projection Controls'!B6),1)))),0,IF('Base Monthly Projection'!F13="","",'Base Monthly Projection'!F13)))+'Base Monthly Projection'!G10</f>
        <v>2106</v>
      </c>
      <c r="H13" s="32" t="n">
        <f aca="false">IF(IF(IF(IF(ISERROR(DATE(2027,7,1)=DATE(YEAR('Base Projection Controls'!B6),MONTH('Base Projection Controls'!B6),1)),DATE(2027,7,1)=DATE(YEAR('Base Projection Controls'!B6),MONTH('Base Projection Controls'!B6),1),IF(DATE(YEAR('Base Projection Controls'!B6),MONTH('Base Projection Controls'!B6),1)="","",DATE(2027,7,1)=DATE(YEAR('Base Projection Controls'!B6),MONTH('Base Projection Controls'!B6),1)))="",FALSE(),IF(ISERROR(DATE(2027,7,1)=DATE(YEAR('Base Projection Controls'!B6),MONTH('Base Projection Controls'!B6),1)),DATE(2027,7,1)=DATE(YEAR('Base Projection Controls'!B6),MONTH('Base Projection Controls'!B6),1),IF(DATE(YEAR('Base Projection Controls'!B6),MONTH('Base Projection Controls'!B6),1)="","",DATE(2027,7,1)=DATE(YEAR('Base Projection Controls'!B6),MONTH('Base Projection Controls'!B6),1)))),0,IF('Base Monthly Projection'!G13="","",'Base Monthly Projection'!G13))="",0,IF(IF(IF(ISERROR(DATE(2027,7,1)=DATE(YEAR('Base Projection Controls'!B6),MONTH('Base Projection Controls'!B6),1)),DATE(2027,7,1)=DATE(YEAR('Base Projection Controls'!B6),MONTH('Base Projection Controls'!B6),1),IF(DATE(YEAR('Base Projection Controls'!B6),MONTH('Base Projection Controls'!B6),1)="","",DATE(2027,7,1)=DATE(YEAR('Base Projection Controls'!B6),MONTH('Base Projection Controls'!B6),1)))="",FALSE(),IF(ISERROR(DATE(2027,7,1)=DATE(YEAR('Base Projection Controls'!B6),MONTH('Base Projection Controls'!B6),1)),DATE(2027,7,1)=DATE(YEAR('Base Projection Controls'!B6),MONTH('Base Projection Controls'!B6),1),IF(DATE(YEAR('Base Projection Controls'!B6),MONTH('Base Projection Controls'!B6),1)="","",DATE(2027,7,1)=DATE(YEAR('Base Projection Controls'!B6),MONTH('Base Projection Controls'!B6),1)))),0,IF('Base Monthly Projection'!G13="","",'Base Monthly Projection'!G13)))+'Base Monthly Projection'!H10</f>
        <v>3814</v>
      </c>
      <c r="I13" s="32" t="n">
        <f aca="false">IF(IF(IF(IF(ISERROR(DATE(2027,8,1)=DATE(YEAR('Base Projection Controls'!B6),MONTH('Base Projection Controls'!B6),1)),DATE(2027,8,1)=DATE(YEAR('Base Projection Controls'!B6),MONTH('Base Projection Controls'!B6),1),IF(DATE(YEAR('Base Projection Controls'!B6),MONTH('Base Projection Controls'!B6),1)="","",DATE(2027,8,1)=DATE(YEAR('Base Projection Controls'!B6),MONTH('Base Projection Controls'!B6),1)))="",FALSE(),IF(ISERROR(DATE(2027,8,1)=DATE(YEAR('Base Projection Controls'!B6),MONTH('Base Projection Controls'!B6),1)),DATE(2027,8,1)=DATE(YEAR('Base Projection Controls'!B6),MONTH('Base Projection Controls'!B6),1),IF(DATE(YEAR('Base Projection Controls'!B6),MONTH('Base Projection Controls'!B6),1)="","",DATE(2027,8,1)=DATE(YEAR('Base Projection Controls'!B6),MONTH('Base Projection Controls'!B6),1)))),0,IF('Base Monthly Projection'!H13="","",'Base Monthly Projection'!H13))="",0,IF(IF(IF(ISERROR(DATE(2027,8,1)=DATE(YEAR('Base Projection Controls'!B6),MONTH('Base Projection Controls'!B6),1)),DATE(2027,8,1)=DATE(YEAR('Base Projection Controls'!B6),MONTH('Base Projection Controls'!B6),1),IF(DATE(YEAR('Base Projection Controls'!B6),MONTH('Base Projection Controls'!B6),1)="","",DATE(2027,8,1)=DATE(YEAR('Base Projection Controls'!B6),MONTH('Base Projection Controls'!B6),1)))="",FALSE(),IF(ISERROR(DATE(2027,8,1)=DATE(YEAR('Base Projection Controls'!B6),MONTH('Base Projection Controls'!B6),1)),DATE(2027,8,1)=DATE(YEAR('Base Projection Controls'!B6),MONTH('Base Projection Controls'!B6),1),IF(DATE(YEAR('Base Projection Controls'!B6),MONTH('Base Projection Controls'!B6),1)="","",DATE(2027,8,1)=DATE(YEAR('Base Projection Controls'!B6),MONTH('Base Projection Controls'!B6),1)))),0,IF('Base Monthly Projection'!H13="","",'Base Monthly Projection'!H13)))+'Base Monthly Projection'!I10</f>
        <v>5936</v>
      </c>
      <c r="J13" s="32" t="n">
        <f aca="false">IF(IF(IF(IF(ISERROR(DATE(2027,9,1)=DATE(YEAR('Base Projection Controls'!B6),MONTH('Base Projection Controls'!B6),1)),DATE(2027,9,1)=DATE(YEAR('Base Projection Controls'!B6),MONTH('Base Projection Controls'!B6),1),IF(DATE(YEAR('Base Projection Controls'!B6),MONTH('Base Projection Controls'!B6),1)="","",DATE(2027,9,1)=DATE(YEAR('Base Projection Controls'!B6),MONTH('Base Projection Controls'!B6),1)))="",FALSE(),IF(ISERROR(DATE(2027,9,1)=DATE(YEAR('Base Projection Controls'!B6),MONTH('Base Projection Controls'!B6),1)),DATE(2027,9,1)=DATE(YEAR('Base Projection Controls'!B6),MONTH('Base Projection Controls'!B6),1),IF(DATE(YEAR('Base Projection Controls'!B6),MONTH('Base Projection Controls'!B6),1)="","",DATE(2027,9,1)=DATE(YEAR('Base Projection Controls'!B6),MONTH('Base Projection Controls'!B6),1)))),0,IF('Base Monthly Projection'!I13="","",'Base Monthly Projection'!I13))="",0,IF(IF(IF(ISERROR(DATE(2027,9,1)=DATE(YEAR('Base Projection Controls'!B6),MONTH('Base Projection Controls'!B6),1)),DATE(2027,9,1)=DATE(YEAR('Base Projection Controls'!B6),MONTH('Base Projection Controls'!B6),1),IF(DATE(YEAR('Base Projection Controls'!B6),MONTH('Base Projection Controls'!B6),1)="","",DATE(2027,9,1)=DATE(YEAR('Base Projection Controls'!B6),MONTH('Base Projection Controls'!B6),1)))="",FALSE(),IF(ISERROR(DATE(2027,9,1)=DATE(YEAR('Base Projection Controls'!B6),MONTH('Base Projection Controls'!B6),1)),DATE(2027,9,1)=DATE(YEAR('Base Projection Controls'!B6),MONTH('Base Projection Controls'!B6),1),IF(DATE(YEAR('Base Projection Controls'!B6),MONTH('Base Projection Controls'!B6),1)="","",DATE(2027,9,1)=DATE(YEAR('Base Projection Controls'!B6),MONTH('Base Projection Controls'!B6),1)))),0,IF('Base Monthly Projection'!I13="","",'Base Monthly Projection'!I13)))+'Base Monthly Projection'!J10</f>
        <v>8196</v>
      </c>
      <c r="K13" s="32" t="n">
        <f aca="false">IF(IF(IF(IF(ISERROR(DATE(2027,10,1)=DATE(YEAR('Base Projection Controls'!B6),MONTH('Base Projection Controls'!B6),1)),DATE(2027,10,1)=DATE(YEAR('Base Projection Controls'!B6),MONTH('Base Projection Controls'!B6),1),IF(DATE(YEAR('Base Projection Controls'!B6),MONTH('Base Projection Controls'!B6),1)="","",DATE(2027,10,1)=DATE(YEAR('Base Projection Controls'!B6),MONTH('Base Projection Controls'!B6),1)))="",FALSE(),IF(ISERROR(DATE(2027,10,1)=DATE(YEAR('Base Projection Controls'!B6),MONTH('Base Projection Controls'!B6),1)),DATE(2027,10,1)=DATE(YEAR('Base Projection Controls'!B6),MONTH('Base Projection Controls'!B6),1),IF(DATE(YEAR('Base Projection Controls'!B6),MONTH('Base Projection Controls'!B6),1)="","",DATE(2027,10,1)=DATE(YEAR('Base Projection Controls'!B6),MONTH('Base Projection Controls'!B6),1)))),0,IF('Base Monthly Projection'!J13="","",'Base Monthly Projection'!J13))="",0,IF(IF(IF(ISERROR(DATE(2027,10,1)=DATE(YEAR('Base Projection Controls'!B6),MONTH('Base Projection Controls'!B6),1)),DATE(2027,10,1)=DATE(YEAR('Base Projection Controls'!B6),MONTH('Base Projection Controls'!B6),1),IF(DATE(YEAR('Base Projection Controls'!B6),MONTH('Base Projection Controls'!B6),1)="","",DATE(2027,10,1)=DATE(YEAR('Base Projection Controls'!B6),MONTH('Base Projection Controls'!B6),1)))="",FALSE(),IF(ISERROR(DATE(2027,10,1)=DATE(YEAR('Base Projection Controls'!B6),MONTH('Base Projection Controls'!B6),1)),DATE(2027,10,1)=DATE(YEAR('Base Projection Controls'!B6),MONTH('Base Projection Controls'!B6),1),IF(DATE(YEAR('Base Projection Controls'!B6),MONTH('Base Projection Controls'!B6),1)="","",DATE(2027,10,1)=DATE(YEAR('Base Projection Controls'!B6),MONTH('Base Projection Controls'!B6),1)))),0,IF('Base Monthly Projection'!J13="","",'Base Monthly Projection'!J13)))+'Base Monthly Projection'!K10</f>
        <v>10456</v>
      </c>
      <c r="L13" s="32" t="n">
        <f aca="false">IF(IF(IF(IF(ISERROR(DATE(2027,11,1)=DATE(YEAR('Base Projection Controls'!B6),MONTH('Base Projection Controls'!B6),1)),DATE(2027,11,1)=DATE(YEAR('Base Projection Controls'!B6),MONTH('Base Projection Controls'!B6),1),IF(DATE(YEAR('Base Projection Controls'!B6),MONTH('Base Projection Controls'!B6),1)="","",DATE(2027,11,1)=DATE(YEAR('Base Projection Controls'!B6),MONTH('Base Projection Controls'!B6),1)))="",FALSE(),IF(ISERROR(DATE(2027,11,1)=DATE(YEAR('Base Projection Controls'!B6),MONTH('Base Projection Controls'!B6),1)),DATE(2027,11,1)=DATE(YEAR('Base Projection Controls'!B6),MONTH('Base Projection Controls'!B6),1),IF(DATE(YEAR('Base Projection Controls'!B6),MONTH('Base Projection Controls'!B6),1)="","",DATE(2027,11,1)=DATE(YEAR('Base Projection Controls'!B6),MONTH('Base Projection Controls'!B6),1)))),0,IF('Base Monthly Projection'!K13="","",'Base Monthly Projection'!K13))="",0,IF(IF(IF(ISERROR(DATE(2027,11,1)=DATE(YEAR('Base Projection Controls'!B6),MONTH('Base Projection Controls'!B6),1)),DATE(2027,11,1)=DATE(YEAR('Base Projection Controls'!B6),MONTH('Base Projection Controls'!B6),1),IF(DATE(YEAR('Base Projection Controls'!B6),MONTH('Base Projection Controls'!B6),1)="","",DATE(2027,11,1)=DATE(YEAR('Base Projection Controls'!B6),MONTH('Base Projection Controls'!B6),1)))="",FALSE(),IF(ISERROR(DATE(2027,11,1)=DATE(YEAR('Base Projection Controls'!B6),MONTH('Base Projection Controls'!B6),1)),DATE(2027,11,1)=DATE(YEAR('Base Projection Controls'!B6),MONTH('Base Projection Controls'!B6),1),IF(DATE(YEAR('Base Projection Controls'!B6),MONTH('Base Projection Controls'!B6),1)="","",DATE(2027,11,1)=DATE(YEAR('Base Projection Controls'!B6),MONTH('Base Projection Controls'!B6),1)))),0,IF('Base Monthly Projection'!K13="","",'Base Monthly Projection'!K13)))+'Base Monthly Projection'!L10</f>
        <v>12716</v>
      </c>
      <c r="M13" s="32" t="n">
        <f aca="false">IF(IF(IF(IF(ISERROR(DATE(2027,12,1)=DATE(YEAR('Base Projection Controls'!B6),MONTH('Base Projection Controls'!B6),1)),DATE(2027,12,1)=DATE(YEAR('Base Projection Controls'!B6),MONTH('Base Projection Controls'!B6),1),IF(DATE(YEAR('Base Projection Controls'!B6),MONTH('Base Projection Controls'!B6),1)="","",DATE(2027,12,1)=DATE(YEAR('Base Projection Controls'!B6),MONTH('Base Projection Controls'!B6),1)))="",FALSE(),IF(ISERROR(DATE(2027,12,1)=DATE(YEAR('Base Projection Controls'!B6),MONTH('Base Projection Controls'!B6),1)),DATE(2027,12,1)=DATE(YEAR('Base Projection Controls'!B6),MONTH('Base Projection Controls'!B6),1),IF(DATE(YEAR('Base Projection Controls'!B6),MONTH('Base Projection Controls'!B6),1)="","",DATE(2027,12,1)=DATE(YEAR('Base Projection Controls'!B6),MONTH('Base Projection Controls'!B6),1)))),0,IF('Base Monthly Projection'!L13="","",'Base Monthly Projection'!L13))="",0,IF(IF(IF(ISERROR(DATE(2027,12,1)=DATE(YEAR('Base Projection Controls'!B6),MONTH('Base Projection Controls'!B6),1)),DATE(2027,12,1)=DATE(YEAR('Base Projection Controls'!B6),MONTH('Base Projection Controls'!B6),1),IF(DATE(YEAR('Base Projection Controls'!B6),MONTH('Base Projection Controls'!B6),1)="","",DATE(2027,12,1)=DATE(YEAR('Base Projection Controls'!B6),MONTH('Base Projection Controls'!B6),1)))="",FALSE(),IF(ISERROR(DATE(2027,12,1)=DATE(YEAR('Base Projection Controls'!B6),MONTH('Base Projection Controls'!B6),1)),DATE(2027,12,1)=DATE(YEAR('Base Projection Controls'!B6),MONTH('Base Projection Controls'!B6),1),IF(DATE(YEAR('Base Projection Controls'!B6),MONTH('Base Projection Controls'!B6),1)="","",DATE(2027,12,1)=DATE(YEAR('Base Projection Controls'!B6),MONTH('Base Projection Controls'!B6),1)))),0,IF('Base Monthly Projection'!L13="","",'Base Monthly Projection'!L13)))+'Base Monthly Projection'!M10</f>
        <v>14976</v>
      </c>
    </row>
    <row r="14" customFormat="false" ht="18" hidden="false" customHeight="false" outlineLevel="0" collapsed="false">
      <c r="A14" s="17" t="s">
        <v>128</v>
      </c>
      <c r="B14" s="33" t="n">
        <f aca="false">'Base Monthly Projection'!B12-('Year 1 Assumptions'!B7+'Base Monthly Projection'!B13)</f>
        <v>0</v>
      </c>
      <c r="C14" s="33" t="n">
        <f aca="false">'Base Monthly Projection'!C12-('Year 1 Assumptions'!B7+'Base Monthly Projection'!C13)</f>
        <v>0</v>
      </c>
      <c r="D14" s="33" t="n">
        <f aca="false">'Base Monthly Projection'!D12-('Year 1 Assumptions'!B7+'Base Monthly Projection'!D13)</f>
        <v>0</v>
      </c>
      <c r="E14" s="33" t="n">
        <f aca="false">'Base Monthly Projection'!E12-('Year 1 Assumptions'!B7+'Base Monthly Projection'!E13)</f>
        <v>0</v>
      </c>
      <c r="F14" s="33" t="n">
        <f aca="false">'Base Monthly Projection'!F12-('Year 1 Assumptions'!B7+'Base Monthly Projection'!F13)</f>
        <v>0</v>
      </c>
      <c r="G14" s="33" t="n">
        <f aca="false">'Base Monthly Projection'!G12-('Year 1 Assumptions'!B7+'Base Monthly Projection'!G13)</f>
        <v>0</v>
      </c>
      <c r="H14" s="33" t="n">
        <f aca="false">'Base Monthly Projection'!H12-('Year 1 Assumptions'!B7+'Base Monthly Projection'!H13)</f>
        <v>0</v>
      </c>
      <c r="I14" s="33" t="n">
        <f aca="false">'Base Monthly Projection'!I12-('Year 1 Assumptions'!B7+'Base Monthly Projection'!I13)</f>
        <v>0</v>
      </c>
      <c r="J14" s="33" t="n">
        <f aca="false">'Base Monthly Projection'!J12-('Year 1 Assumptions'!B7+'Base Monthly Projection'!J13)</f>
        <v>0</v>
      </c>
      <c r="K14" s="33" t="n">
        <f aca="false">'Base Monthly Projection'!K12-('Year 1 Assumptions'!B7+'Base Monthly Projection'!K13)</f>
        <v>0</v>
      </c>
      <c r="L14" s="33" t="n">
        <f aca="false">'Base Monthly Projection'!L12-('Year 1 Assumptions'!B7+'Base Monthly Projection'!L13)</f>
        <v>0</v>
      </c>
      <c r="M14" s="33" t="n">
        <f aca="false">'Base Monthly Projection'!M12-('Year 1 Assumptions'!B7+'Base Monthly Projection'!M13)</f>
        <v>0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9"/>
  </cols>
  <sheetData>
    <row r="1" customFormat="false" ht="31.5" hidden="false" customHeight="true" outlineLevel="0" collapsed="false">
      <c r="A1" s="13" t="s">
        <v>46</v>
      </c>
      <c r="B1" s="13"/>
    </row>
    <row r="2" customFormat="false" ht="19.5" hidden="false" customHeight="true" outlineLevel="0" collapsed="false">
      <c r="A2" s="14" t="s">
        <v>83</v>
      </c>
    </row>
    <row r="4" customFormat="false" ht="21.75" hidden="false" customHeight="true" outlineLevel="0" collapsed="false">
      <c r="A4" s="15" t="s">
        <v>84</v>
      </c>
      <c r="B4" s="16" t="s">
        <v>85</v>
      </c>
    </row>
    <row r="5" customFormat="false" ht="18" hidden="false" customHeight="false" outlineLevel="0" collapsed="false">
      <c r="A5" s="17" t="s">
        <v>129</v>
      </c>
      <c r="B5" s="34" t="n">
        <f aca="false">SUM('Base Monthly Projection'!B5,'Base Monthly Projection'!C5,'Base Monthly Projection'!D5,'Base Monthly Projection'!E5,'Base Monthly Projection'!F5,'Base Monthly Projection'!G5,'Base Monthly Projection'!H5,'Base Monthly Projection'!I5,'Base Monthly Projection'!J5,'Base Monthly Projection'!K5,'Base Monthly Projection'!L5,'Base Monthly Projection'!M5)</f>
        <v>304</v>
      </c>
    </row>
    <row r="6" customFormat="false" ht="18" hidden="false" customHeight="false" outlineLevel="0" collapsed="false">
      <c r="A6" s="19" t="s">
        <v>130</v>
      </c>
      <c r="B6" s="22" t="n">
        <f aca="false">SUM('Base Monthly Projection'!B6,'Base Monthly Projection'!C6,'Base Monthly Projection'!D6,'Base Monthly Projection'!E6,'Base Monthly Projection'!F6,'Base Monthly Projection'!G6,'Base Monthly Projection'!H6,'Base Monthly Projection'!I6,'Base Monthly Projection'!J6,'Base Monthly Projection'!K6,'Base Monthly Projection'!L6,'Base Monthly Projection'!M6)</f>
        <v>30096</v>
      </c>
    </row>
    <row r="7" customFormat="false" ht="18" hidden="false" customHeight="false" outlineLevel="0" collapsed="false">
      <c r="A7" s="19" t="s">
        <v>131</v>
      </c>
      <c r="B7" s="22" t="n">
        <f aca="false">SUM('Base Monthly Projection'!B7,'Base Monthly Projection'!C7,'Base Monthly Projection'!D7,'Base Monthly Projection'!E7,'Base Monthly Projection'!F7,'Base Monthly Projection'!G7,'Base Monthly Projection'!H7,'Base Monthly Projection'!I7,'Base Monthly Projection'!J7,'Base Monthly Projection'!K7,'Base Monthly Projection'!L7,'Base Monthly Projection'!M7)</f>
        <v>9120</v>
      </c>
    </row>
    <row r="8" customFormat="false" ht="18" hidden="false" customHeight="false" outlineLevel="0" collapsed="false">
      <c r="A8" s="19" t="s">
        <v>132</v>
      </c>
      <c r="B8" s="22" t="n">
        <f aca="false">SUM('Base Monthly Projection'!B8,'Base Monthly Projection'!C8,'Base Monthly Projection'!D8,'Base Monthly Projection'!E8,'Base Monthly Projection'!F8,'Base Monthly Projection'!G8,'Base Monthly Projection'!H8,'Base Monthly Projection'!I8,'Base Monthly Projection'!J8,'Base Monthly Projection'!K8,'Base Monthly Projection'!L8,'Base Monthly Projection'!M8)</f>
        <v>6000</v>
      </c>
    </row>
    <row r="9" customFormat="false" ht="18" hidden="false" customHeight="false" outlineLevel="0" collapsed="false">
      <c r="A9" s="19" t="s">
        <v>133</v>
      </c>
      <c r="B9" s="22" t="n">
        <f aca="false">SUM('Base Monthly Projection'!B9,'Base Monthly Projection'!C9,'Base Monthly Projection'!D9,'Base Monthly Projection'!E9,'Base Monthly Projection'!F9,'Base Monthly Projection'!G9,'Base Monthly Projection'!H9,'Base Monthly Projection'!I9,'Base Monthly Projection'!J9,'Base Monthly Projection'!K9,'Base Monthly Projection'!L9,'Base Monthly Projection'!M9)</f>
        <v>15120</v>
      </c>
    </row>
    <row r="10" customFormat="false" ht="18" hidden="false" customHeight="false" outlineLevel="0" collapsed="false">
      <c r="A10" s="19" t="s">
        <v>134</v>
      </c>
      <c r="B10" s="22" t="n">
        <f aca="false">SUM('Base Monthly Projection'!B10,'Base Monthly Projection'!C10,'Base Monthly Projection'!D10,'Base Monthly Projection'!E10,'Base Monthly Projection'!F10,'Base Monthly Projection'!G10,'Base Monthly Projection'!H10,'Base Monthly Projection'!I10,'Base Monthly Projection'!J10,'Base Monthly Projection'!K10,'Base Monthly Projection'!L10,'Base Monthly Projection'!M10)</f>
        <v>14976</v>
      </c>
    </row>
    <row r="11" customFormat="false" ht="18" hidden="false" customHeight="false" outlineLevel="0" collapsed="false">
      <c r="A11" s="19" t="s">
        <v>135</v>
      </c>
      <c r="B11" s="22" t="n">
        <f aca="false">MIN('Base Monthly Projection'!B12,'Base Monthly Projection'!C12,'Base Monthly Projection'!D12,'Base Monthly Projection'!E12,'Base Monthly Projection'!F12,'Base Monthly Projection'!G12,'Base Monthly Projection'!H12,'Base Monthly Projection'!I12,'Base Monthly Projection'!J12,'Base Monthly Projection'!K12,'Base Monthly Projection'!L12,'Base Monthly Projection'!M12)</f>
        <v>19345</v>
      </c>
    </row>
    <row r="12" customFormat="false" ht="18" hidden="false" customHeight="false" outlineLevel="0" collapsed="false">
      <c r="A12" s="19" t="s">
        <v>136</v>
      </c>
      <c r="B12" s="22" t="n">
        <f aca="false">IF('Base Monthly Projection'!M12="","",'Base Monthly Projection'!M12)</f>
        <v>34976</v>
      </c>
    </row>
    <row r="13" customFormat="false" ht="18" hidden="false" customHeight="false" outlineLevel="0" collapsed="false">
      <c r="A13" s="19" t="s">
        <v>137</v>
      </c>
      <c r="B13" s="22" t="n">
        <f aca="false">'Base Annual Reconciliation'!B6-'Scenario Matrix'!B6</f>
        <v>0</v>
      </c>
    </row>
    <row r="14" customFormat="false" ht="18" hidden="false" customHeight="false" outlineLevel="0" collapsed="false">
      <c r="A14" s="19" t="s">
        <v>138</v>
      </c>
      <c r="B14" s="22" t="n">
        <f aca="false">'Base Annual Reconciliation'!B9-'Scenario Matrix'!B7</f>
        <v>0</v>
      </c>
    </row>
    <row r="15" customFormat="false" ht="18" hidden="false" customHeight="false" outlineLevel="0" collapsed="false">
      <c r="A15" s="17" t="s">
        <v>139</v>
      </c>
      <c r="B15" s="35" t="n">
        <f aca="false">'Base Annual Reconciliation'!B10-'Scenario Matrix'!B8</f>
        <v>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1" width="40"/>
    <col collapsed="false" customWidth="true" hidden="false" outlineLevel="0" max="5" min="2" style="1" width="19"/>
  </cols>
  <sheetData>
    <row r="1" customFormat="false" ht="31.5" hidden="false" customHeight="true" outlineLevel="0" collapsed="false">
      <c r="A1" s="13" t="s">
        <v>48</v>
      </c>
      <c r="B1" s="13"/>
      <c r="C1" s="13"/>
      <c r="D1" s="13"/>
      <c r="E1" s="13"/>
    </row>
    <row r="2" customFormat="false" ht="19.5" hidden="false" customHeight="true" outlineLevel="0" collapsed="false">
      <c r="A2" s="14" t="s">
        <v>83</v>
      </c>
    </row>
    <row r="4" customFormat="false" ht="21.75" hidden="false" customHeight="true" outlineLevel="0" collapsed="false">
      <c r="A4" s="15" t="s">
        <v>84</v>
      </c>
      <c r="B4" s="16" t="s">
        <v>85</v>
      </c>
      <c r="C4" s="16" t="s">
        <v>140</v>
      </c>
      <c r="D4" s="16" t="s">
        <v>141</v>
      </c>
      <c r="E4" s="16" t="s">
        <v>142</v>
      </c>
    </row>
    <row r="5" customFormat="false" ht="18" hidden="false" customHeight="false" outlineLevel="0" collapsed="false">
      <c r="A5" s="17" t="s">
        <v>105</v>
      </c>
      <c r="B5" s="18" t="n">
        <f aca="false">'Base Projection Controls'!B5</f>
        <v>6000</v>
      </c>
      <c r="C5" s="18" t="n">
        <f aca="false">3600</f>
        <v>3600</v>
      </c>
      <c r="D5" s="18" t="n">
        <f aca="false">4800</f>
        <v>4800</v>
      </c>
      <c r="E5" s="18" t="n">
        <f aca="false">6000</f>
        <v>6000</v>
      </c>
    </row>
    <row r="6" customFormat="false" ht="18" hidden="false" customHeight="false" outlineLevel="0" collapsed="false">
      <c r="A6" s="19" t="s">
        <v>133</v>
      </c>
      <c r="B6" s="21" t="n">
        <f aca="false">SUM('Base Monthly Projection'!B9,'Base Monthly Projection'!C9,'Base Monthly Projection'!D9,'Base Monthly Projection'!E9,'Base Monthly Projection'!F9,'Base Monthly Projection'!G9,'Base Monthly Projection'!H9,'Base Monthly Projection'!I9,'Base Monthly Projection'!J9,'Base Monthly Projection'!K9,'Base Monthly Projection'!L9,'Base Monthly Projection'!M9)</f>
        <v>15120</v>
      </c>
      <c r="C6" s="21" t="n">
        <f aca="false">SUM('Model inputs'!C33,'Model inputs'!D33,'Model inputs'!E33,'Model inputs'!F33,'Model inputs'!G33,'Model inputs'!H33,'Model inputs'!I33,'Model inputs'!J33,'Model inputs'!K33,'Model inputs'!L33,'Model inputs'!M33,'Model inputs'!N33)</f>
        <v>12720</v>
      </c>
      <c r="D6" s="21" t="n">
        <f aca="false">SUM('Model inputs'!C32,'Model inputs'!D32,'Model inputs'!E32,'Model inputs'!F32,'Model inputs'!G32,'Model inputs'!H32,'Model inputs'!I32,'Model inputs'!J32,'Model inputs'!K32,'Model inputs'!L32,'Model inputs'!M32,'Model inputs'!N32)</f>
        <v>13920</v>
      </c>
      <c r="E6" s="21" t="n">
        <f aca="false">SUM('Model inputs'!C34,'Model inputs'!D34,'Model inputs'!E34,'Model inputs'!F34,'Model inputs'!G34,'Model inputs'!H34,'Model inputs'!I34,'Model inputs'!J34,'Model inputs'!K34,'Model inputs'!L34,'Model inputs'!M34,'Model inputs'!N34)</f>
        <v>15120</v>
      </c>
    </row>
    <row r="7" customFormat="false" ht="18" hidden="false" customHeight="false" outlineLevel="0" collapsed="false">
      <c r="A7" s="19" t="s">
        <v>134</v>
      </c>
      <c r="B7" s="21" t="n">
        <f aca="false">SUM('Base Monthly Projection'!B10,'Base Monthly Projection'!C10,'Base Monthly Projection'!D10,'Base Monthly Projection'!E10,'Base Monthly Projection'!F10,'Base Monthly Projection'!G10,'Base Monthly Projection'!H10,'Base Monthly Projection'!I10,'Base Monthly Projection'!J10,'Base Monthly Projection'!K10,'Base Monthly Projection'!L10,'Base Monthly Projection'!M10)</f>
        <v>14976</v>
      </c>
      <c r="C7" s="21" t="n">
        <f aca="false">SUM('Model inputs'!C45,'Model inputs'!D45,'Model inputs'!E45,'Model inputs'!F45,'Model inputs'!G45,'Model inputs'!H45,'Model inputs'!I45,'Model inputs'!J45,'Model inputs'!K45,'Model inputs'!L45,'Model inputs'!M45,'Model inputs'!N45)</f>
        <v>17376</v>
      </c>
      <c r="D7" s="21" t="n">
        <f aca="false">SUM('Model inputs'!C43,'Model inputs'!D43,'Model inputs'!E43,'Model inputs'!F43,'Model inputs'!G43,'Model inputs'!H43,'Model inputs'!I43,'Model inputs'!J43,'Model inputs'!K43,'Model inputs'!L43,'Model inputs'!M43,'Model inputs'!N43)</f>
        <v>16176</v>
      </c>
      <c r="E7" s="21" t="n">
        <f aca="false">SUM('Model inputs'!C48,'Model inputs'!D48,'Model inputs'!E48,'Model inputs'!F48,'Model inputs'!G48,'Model inputs'!H48,'Model inputs'!I48,'Model inputs'!J48,'Model inputs'!K48,'Model inputs'!L48,'Model inputs'!M48,'Model inputs'!N48)</f>
        <v>14976</v>
      </c>
    </row>
    <row r="8" customFormat="false" ht="18" hidden="false" customHeight="false" outlineLevel="0" collapsed="false">
      <c r="A8" s="19" t="s">
        <v>135</v>
      </c>
      <c r="B8" s="21" t="n">
        <f aca="false">MIN('Base Monthly Projection'!B12,'Base Monthly Projection'!C12,'Base Monthly Projection'!D12,'Base Monthly Projection'!E12,'Base Monthly Projection'!F12,'Base Monthly Projection'!G12,'Base Monthly Projection'!H12,'Base Monthly Projection'!I12,'Base Monthly Projection'!J12,'Base Monthly Projection'!K12,'Base Monthly Projection'!L12,'Base Monthly Projection'!M12)</f>
        <v>19345</v>
      </c>
      <c r="C8" s="21" t="n">
        <f aca="false">MIN('Model inputs'!C9,'Model inputs'!D9,'Model inputs'!E9,'Model inputs'!F9,'Model inputs'!G9,'Model inputs'!H9,'Model inputs'!I9,'Model inputs'!J9,'Model inputs'!K9,'Model inputs'!L9,'Model inputs'!M9,'Model inputs'!N9)</f>
        <v>19745</v>
      </c>
      <c r="D8" s="21" t="n">
        <f aca="false">MIN('Model inputs'!C8,'Model inputs'!D8,'Model inputs'!E8,'Model inputs'!F8,'Model inputs'!G8,'Model inputs'!H8,'Model inputs'!I8,'Model inputs'!J8,'Model inputs'!K8,'Model inputs'!L8,'Model inputs'!M8,'Model inputs'!N8)</f>
        <v>19545</v>
      </c>
      <c r="E8" s="21" t="n">
        <f aca="false">MIN('Model inputs'!C10,'Model inputs'!D10,'Model inputs'!E10,'Model inputs'!F10,'Model inputs'!G10,'Model inputs'!H10,'Model inputs'!I10,'Model inputs'!J10,'Model inputs'!K10,'Model inputs'!L10,'Model inputs'!M10,'Model inputs'!N10)</f>
        <v>19345</v>
      </c>
    </row>
    <row r="9" customFormat="false" ht="18" hidden="false" customHeight="false" outlineLevel="0" collapsed="false">
      <c r="A9" s="17" t="s">
        <v>136</v>
      </c>
      <c r="B9" s="18" t="n">
        <f aca="false">IF('Base Monthly Projection'!M12="","",'Base Monthly Projection'!M12)</f>
        <v>34976</v>
      </c>
      <c r="C9" s="18" t="n">
        <f aca="false">IF('Model inputs'!N9="","",'Model inputs'!N9)</f>
        <v>37376</v>
      </c>
      <c r="D9" s="18" t="n">
        <f aca="false">IF('Model inputs'!N8="","",'Model inputs'!N8)</f>
        <v>36176</v>
      </c>
      <c r="E9" s="18" t="n">
        <f aca="false">IF('Model inputs'!N10="","",'Model inputs'!N10)</f>
        <v>34976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1" width="40"/>
    <col collapsed="false" customWidth="true" hidden="false" outlineLevel="0" max="10" min="2" style="1" width="19"/>
  </cols>
  <sheetData>
    <row r="1" customFormat="false" ht="31.5" hidden="false" customHeight="true" outlineLevel="0" collapsed="false">
      <c r="A1" s="13" t="s">
        <v>50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19.5" hidden="false" customHeight="true" outlineLevel="0" collapsed="false">
      <c r="A2" s="14" t="s">
        <v>83</v>
      </c>
    </row>
    <row r="4" customFormat="false" ht="21.75" hidden="false" customHeight="true" outlineLevel="0" collapsed="false">
      <c r="A4" s="15" t="s">
        <v>84</v>
      </c>
      <c r="B4" s="16" t="s">
        <v>85</v>
      </c>
      <c r="C4" s="16" t="s">
        <v>140</v>
      </c>
      <c r="D4" s="16" t="s">
        <v>141</v>
      </c>
      <c r="E4" s="16" t="s">
        <v>143</v>
      </c>
      <c r="F4" s="16" t="s">
        <v>144</v>
      </c>
      <c r="G4" s="16" t="s">
        <v>145</v>
      </c>
      <c r="H4" s="16" t="s">
        <v>146</v>
      </c>
      <c r="I4" s="16" t="s">
        <v>147</v>
      </c>
      <c r="J4" s="16" t="s">
        <v>148</v>
      </c>
    </row>
    <row r="5" customFormat="false" ht="18" hidden="false" customHeight="false" outlineLevel="0" collapsed="false">
      <c r="A5" s="17" t="s">
        <v>57</v>
      </c>
      <c r="B5" s="18" t="n">
        <f aca="false">99</f>
        <v>99</v>
      </c>
      <c r="C5" s="18" t="n">
        <f aca="false">99</f>
        <v>99</v>
      </c>
      <c r="D5" s="18" t="n">
        <f aca="false">99</f>
        <v>99</v>
      </c>
      <c r="E5" s="18" t="n">
        <f aca="false">109</f>
        <v>109</v>
      </c>
      <c r="F5" s="18" t="n">
        <f aca="false">109</f>
        <v>109</v>
      </c>
      <c r="G5" s="18" t="n">
        <f aca="false">109</f>
        <v>109</v>
      </c>
      <c r="H5" s="18" t="n">
        <f aca="false">119</f>
        <v>119</v>
      </c>
      <c r="I5" s="18" t="n">
        <f aca="false">119</f>
        <v>119</v>
      </c>
      <c r="J5" s="18" t="n">
        <f aca="false">119</f>
        <v>119</v>
      </c>
    </row>
    <row r="6" customFormat="false" ht="18" hidden="false" customHeight="false" outlineLevel="0" collapsed="false">
      <c r="A6" s="19" t="s">
        <v>105</v>
      </c>
      <c r="B6" s="21" t="n">
        <f aca="false">'Base Projection Controls'!B5</f>
        <v>6000</v>
      </c>
      <c r="C6" s="21" t="n">
        <f aca="false">'Fixed Cost Sensitivity'!C5</f>
        <v>3600</v>
      </c>
      <c r="D6" s="21" t="n">
        <f aca="false">'Fixed Cost Sensitivity'!D5</f>
        <v>4800</v>
      </c>
      <c r="E6" s="21" t="n">
        <f aca="false">3600</f>
        <v>3600</v>
      </c>
      <c r="F6" s="21" t="n">
        <f aca="false">4800</f>
        <v>4800</v>
      </c>
      <c r="G6" s="21" t="n">
        <f aca="false">6000</f>
        <v>6000</v>
      </c>
      <c r="H6" s="21" t="n">
        <f aca="false">3600</f>
        <v>3600</v>
      </c>
      <c r="I6" s="21" t="n">
        <f aca="false">4800</f>
        <v>4800</v>
      </c>
      <c r="J6" s="21" t="n">
        <f aca="false">6000</f>
        <v>6000</v>
      </c>
    </row>
    <row r="7" customFormat="false" ht="18" hidden="false" customHeight="false" outlineLevel="0" collapsed="false">
      <c r="A7" s="19" t="s">
        <v>129</v>
      </c>
      <c r="B7" s="21" t="n">
        <f aca="false">SUM('Base Monthly Projection'!B5,'Base Monthly Projection'!C5,'Base Monthly Projection'!D5,'Base Monthly Projection'!E5,'Base Monthly Projection'!F5,'Base Monthly Projection'!G5,'Base Monthly Projection'!H5,'Base Monthly Projection'!I5,'Base Monthly Projection'!J5,'Base Monthly Projection'!K5,'Base Monthly Projection'!L5,'Base Monthly Projection'!M5)</f>
        <v>304</v>
      </c>
      <c r="C7" s="21" t="n">
        <f aca="false">SUM('Model inputs'!C20,'Model inputs'!D20,'Model inputs'!E20,'Model inputs'!F20,'Model inputs'!G20,'Model inputs'!H20,'Model inputs'!I20,'Model inputs'!J20,'Model inputs'!K20,'Model inputs'!L20,'Model inputs'!M20,'Model inputs'!N20)</f>
        <v>304</v>
      </c>
      <c r="D7" s="21" t="n">
        <f aca="false">SUM('Model inputs'!C18,'Model inputs'!D18,'Model inputs'!E18,'Model inputs'!F18,'Model inputs'!G18,'Model inputs'!H18,'Model inputs'!I18,'Model inputs'!J18,'Model inputs'!K18,'Model inputs'!L18,'Model inputs'!M18,'Model inputs'!N18)</f>
        <v>304</v>
      </c>
      <c r="E7" s="21" t="n">
        <f aca="false">SUM('Model inputs'!C23,'Model inputs'!D23,'Model inputs'!E23,'Model inputs'!F23,'Model inputs'!G23,'Model inputs'!H23,'Model inputs'!I23,'Model inputs'!J23,'Model inputs'!K23,'Model inputs'!L23,'Model inputs'!M23,'Model inputs'!N23)</f>
        <v>304</v>
      </c>
      <c r="F7" s="21" t="n">
        <f aca="false">SUM('Model inputs'!C19,'Model inputs'!D19,'Model inputs'!E19,'Model inputs'!F19,'Model inputs'!G19,'Model inputs'!H19,'Model inputs'!I19,'Model inputs'!J19,'Model inputs'!K19,'Model inputs'!L19,'Model inputs'!M19,'Model inputs'!N19)</f>
        <v>304</v>
      </c>
      <c r="G7" s="21" t="n">
        <f aca="false">SUM('Model inputs'!C17,'Model inputs'!D17,'Model inputs'!E17,'Model inputs'!F17,'Model inputs'!G17,'Model inputs'!H17,'Model inputs'!I17,'Model inputs'!J17,'Model inputs'!K17,'Model inputs'!L17,'Model inputs'!M17,'Model inputs'!N17)</f>
        <v>304</v>
      </c>
      <c r="H7" s="21" t="n">
        <f aca="false">SUM('Model inputs'!C24,'Model inputs'!D24,'Model inputs'!E24,'Model inputs'!F24,'Model inputs'!G24,'Model inputs'!H24,'Model inputs'!I24,'Model inputs'!J24,'Model inputs'!K24,'Model inputs'!L24,'Model inputs'!M24,'Model inputs'!N24)</f>
        <v>304</v>
      </c>
      <c r="I7" s="21" t="n">
        <f aca="false">SUM('Model inputs'!C22,'Model inputs'!D22,'Model inputs'!E22,'Model inputs'!F22,'Model inputs'!G22,'Model inputs'!H22,'Model inputs'!I22,'Model inputs'!J22,'Model inputs'!K22,'Model inputs'!L22,'Model inputs'!M22,'Model inputs'!N22)</f>
        <v>304</v>
      </c>
      <c r="J7" s="21" t="n">
        <f aca="false">SUM('Model inputs'!C21,'Model inputs'!D21,'Model inputs'!E21,'Model inputs'!F21,'Model inputs'!G21,'Model inputs'!H21,'Model inputs'!I21,'Model inputs'!J21,'Model inputs'!K21,'Model inputs'!L21,'Model inputs'!M21,'Model inputs'!N21)</f>
        <v>304</v>
      </c>
    </row>
    <row r="8" customFormat="false" ht="18" hidden="false" customHeight="false" outlineLevel="0" collapsed="false">
      <c r="A8" s="19" t="s">
        <v>130</v>
      </c>
      <c r="B8" s="21" t="n">
        <f aca="false">SUM('Base Monthly Projection'!B6,'Base Monthly Projection'!C6,'Base Monthly Projection'!D6,'Base Monthly Projection'!E6,'Base Monthly Projection'!F6,'Base Monthly Projection'!G6,'Base Monthly Projection'!H6,'Base Monthly Projection'!I6,'Base Monthly Projection'!J6,'Base Monthly Projection'!K6,'Base Monthly Projection'!L6,'Base Monthly Projection'!M6)</f>
        <v>30096</v>
      </c>
      <c r="C8" s="21" t="n">
        <f aca="false">SUM('Model inputs'!C71,'Model inputs'!D71,'Model inputs'!E71,'Model inputs'!F71,'Model inputs'!G71,'Model inputs'!H71,'Model inputs'!I71,'Model inputs'!J71,'Model inputs'!K71,'Model inputs'!L71,'Model inputs'!M71,'Model inputs'!N71)</f>
        <v>30096</v>
      </c>
      <c r="D8" s="21" t="n">
        <f aca="false">SUM('Model inputs'!C69,'Model inputs'!D69,'Model inputs'!E69,'Model inputs'!F69,'Model inputs'!G69,'Model inputs'!H69,'Model inputs'!I69,'Model inputs'!J69,'Model inputs'!K69,'Model inputs'!L69,'Model inputs'!M69,'Model inputs'!N69)</f>
        <v>30096</v>
      </c>
      <c r="E8" s="21" t="n">
        <f aca="false">SUM('Model inputs'!C74,'Model inputs'!D74,'Model inputs'!E74,'Model inputs'!F74,'Model inputs'!G74,'Model inputs'!H74,'Model inputs'!I74,'Model inputs'!J74,'Model inputs'!K74,'Model inputs'!L74,'Model inputs'!M74,'Model inputs'!N74)</f>
        <v>33136</v>
      </c>
      <c r="F8" s="21" t="n">
        <f aca="false">SUM('Model inputs'!C70,'Model inputs'!D70,'Model inputs'!E70,'Model inputs'!F70,'Model inputs'!G70,'Model inputs'!H70,'Model inputs'!I70,'Model inputs'!J70,'Model inputs'!K70,'Model inputs'!L70,'Model inputs'!M70,'Model inputs'!N70)</f>
        <v>33136</v>
      </c>
      <c r="G8" s="21" t="n">
        <f aca="false">SUM('Model inputs'!C68,'Model inputs'!D68,'Model inputs'!E68,'Model inputs'!F68,'Model inputs'!G68,'Model inputs'!H68,'Model inputs'!I68,'Model inputs'!J68,'Model inputs'!K68,'Model inputs'!L68,'Model inputs'!M68,'Model inputs'!N68)</f>
        <v>33136</v>
      </c>
      <c r="H8" s="21" t="n">
        <f aca="false">SUM('Model inputs'!C75,'Model inputs'!D75,'Model inputs'!E75,'Model inputs'!F75,'Model inputs'!G75,'Model inputs'!H75,'Model inputs'!I75,'Model inputs'!J75,'Model inputs'!K75,'Model inputs'!L75,'Model inputs'!M75,'Model inputs'!N75)</f>
        <v>36176</v>
      </c>
      <c r="I8" s="21" t="n">
        <f aca="false">SUM('Model inputs'!C73,'Model inputs'!D73,'Model inputs'!E73,'Model inputs'!F73,'Model inputs'!G73,'Model inputs'!H73,'Model inputs'!I73,'Model inputs'!J73,'Model inputs'!K73,'Model inputs'!L73,'Model inputs'!M73,'Model inputs'!N73)</f>
        <v>36176</v>
      </c>
      <c r="J8" s="21" t="n">
        <f aca="false">SUM('Model inputs'!C72,'Model inputs'!D72,'Model inputs'!E72,'Model inputs'!F72,'Model inputs'!G72,'Model inputs'!H72,'Model inputs'!I72,'Model inputs'!J72,'Model inputs'!K72,'Model inputs'!L72,'Model inputs'!M72,'Model inputs'!N72)</f>
        <v>36176</v>
      </c>
    </row>
    <row r="9" customFormat="false" ht="18" hidden="false" customHeight="false" outlineLevel="0" collapsed="false">
      <c r="A9" s="19" t="s">
        <v>131</v>
      </c>
      <c r="B9" s="21" t="n">
        <f aca="false">SUM('Base Monthly Projection'!B7,'Base Monthly Projection'!C7,'Base Monthly Projection'!D7,'Base Monthly Projection'!E7,'Base Monthly Projection'!F7,'Base Monthly Projection'!G7,'Base Monthly Projection'!H7,'Base Monthly Projection'!I7,'Base Monthly Projection'!J7,'Base Monthly Projection'!K7,'Base Monthly Projection'!L7,'Base Monthly Projection'!M7)</f>
        <v>9120</v>
      </c>
      <c r="C9" s="21" t="n">
        <f aca="false">SUM('Model inputs'!C55,'Model inputs'!D55,'Model inputs'!E55,'Model inputs'!F55,'Model inputs'!G55,'Model inputs'!H55,'Model inputs'!I55,'Model inputs'!J55,'Model inputs'!K55,'Model inputs'!L55,'Model inputs'!M55,'Model inputs'!N55)</f>
        <v>9120</v>
      </c>
      <c r="D9" s="21" t="n">
        <f aca="false">SUM('Model inputs'!C53,'Model inputs'!D53,'Model inputs'!E53,'Model inputs'!F53,'Model inputs'!G53,'Model inputs'!H53,'Model inputs'!I53,'Model inputs'!J53,'Model inputs'!K53,'Model inputs'!L53,'Model inputs'!M53,'Model inputs'!N53)</f>
        <v>9120</v>
      </c>
      <c r="E9" s="21" t="n">
        <f aca="false">SUM('Model inputs'!C58,'Model inputs'!D58,'Model inputs'!E58,'Model inputs'!F58,'Model inputs'!G58,'Model inputs'!H58,'Model inputs'!I58,'Model inputs'!J58,'Model inputs'!K58,'Model inputs'!L58,'Model inputs'!M58,'Model inputs'!N58)</f>
        <v>9120</v>
      </c>
      <c r="F9" s="21" t="n">
        <f aca="false">SUM('Model inputs'!C54,'Model inputs'!D54,'Model inputs'!E54,'Model inputs'!F54,'Model inputs'!G54,'Model inputs'!H54,'Model inputs'!I54,'Model inputs'!J54,'Model inputs'!K54,'Model inputs'!L54,'Model inputs'!M54,'Model inputs'!N54)</f>
        <v>9120</v>
      </c>
      <c r="G9" s="21" t="n">
        <f aca="false">SUM('Model inputs'!C52,'Model inputs'!D52,'Model inputs'!E52,'Model inputs'!F52,'Model inputs'!G52,'Model inputs'!H52,'Model inputs'!I52,'Model inputs'!J52,'Model inputs'!K52,'Model inputs'!L52,'Model inputs'!M52,'Model inputs'!N52)</f>
        <v>9120</v>
      </c>
      <c r="H9" s="21" t="n">
        <f aca="false">SUM('Model inputs'!C59,'Model inputs'!D59,'Model inputs'!E59,'Model inputs'!F59,'Model inputs'!G59,'Model inputs'!H59,'Model inputs'!I59,'Model inputs'!J59,'Model inputs'!K59,'Model inputs'!L59,'Model inputs'!M59,'Model inputs'!N59)</f>
        <v>9120</v>
      </c>
      <c r="I9" s="21" t="n">
        <f aca="false">SUM('Model inputs'!C57,'Model inputs'!D57,'Model inputs'!E57,'Model inputs'!F57,'Model inputs'!G57,'Model inputs'!H57,'Model inputs'!I57,'Model inputs'!J57,'Model inputs'!K57,'Model inputs'!L57,'Model inputs'!M57,'Model inputs'!N57)</f>
        <v>9120</v>
      </c>
      <c r="J9" s="21" t="n">
        <f aca="false">SUM('Model inputs'!C56,'Model inputs'!D56,'Model inputs'!E56,'Model inputs'!F56,'Model inputs'!G56,'Model inputs'!H56,'Model inputs'!I56,'Model inputs'!J56,'Model inputs'!K56,'Model inputs'!L56,'Model inputs'!M56,'Model inputs'!N56)</f>
        <v>9120</v>
      </c>
    </row>
    <row r="10" customFormat="false" ht="18" hidden="false" customHeight="false" outlineLevel="0" collapsed="false">
      <c r="A10" s="17" t="s">
        <v>134</v>
      </c>
      <c r="B10" s="18" t="n">
        <f aca="false">SUM('Base Monthly Projection'!B10,'Base Monthly Projection'!C10,'Base Monthly Projection'!D10,'Base Monthly Projection'!E10,'Base Monthly Projection'!F10,'Base Monthly Projection'!G10,'Base Monthly Projection'!H10,'Base Monthly Projection'!I10,'Base Monthly Projection'!J10,'Base Monthly Projection'!K10,'Base Monthly Projection'!L10,'Base Monthly Projection'!M10)</f>
        <v>14976</v>
      </c>
      <c r="C10" s="18" t="n">
        <f aca="false">SUM('Model inputs'!C45,'Model inputs'!D45,'Model inputs'!E45,'Model inputs'!F45,'Model inputs'!G45,'Model inputs'!H45,'Model inputs'!I45,'Model inputs'!J45,'Model inputs'!K45,'Model inputs'!L45,'Model inputs'!M45,'Model inputs'!N45)</f>
        <v>17376</v>
      </c>
      <c r="D10" s="18" t="n">
        <f aca="false">SUM('Model inputs'!C43,'Model inputs'!D43,'Model inputs'!E43,'Model inputs'!F43,'Model inputs'!G43,'Model inputs'!H43,'Model inputs'!I43,'Model inputs'!J43,'Model inputs'!K43,'Model inputs'!L43,'Model inputs'!M43,'Model inputs'!N43)</f>
        <v>16176</v>
      </c>
      <c r="E10" s="18" t="n">
        <f aca="false">SUM('Model inputs'!C49,'Model inputs'!D49,'Model inputs'!E49,'Model inputs'!F49,'Model inputs'!G49,'Model inputs'!H49,'Model inputs'!I49,'Model inputs'!J49,'Model inputs'!K49,'Model inputs'!L49,'Model inputs'!M49,'Model inputs'!N49)</f>
        <v>20416</v>
      </c>
      <c r="F10" s="18" t="n">
        <f aca="false">SUM('Model inputs'!C44,'Model inputs'!D44,'Model inputs'!E44,'Model inputs'!F44,'Model inputs'!G44,'Model inputs'!H44,'Model inputs'!I44,'Model inputs'!J44,'Model inputs'!K44,'Model inputs'!L44,'Model inputs'!M44,'Model inputs'!N44)</f>
        <v>19216</v>
      </c>
      <c r="G10" s="18" t="n">
        <f aca="false">SUM('Model inputs'!C42,'Model inputs'!D42,'Model inputs'!E42,'Model inputs'!F42,'Model inputs'!G42,'Model inputs'!H42,'Model inputs'!I42,'Model inputs'!J42,'Model inputs'!K42,'Model inputs'!L42,'Model inputs'!M42,'Model inputs'!N42)</f>
        <v>18016</v>
      </c>
      <c r="H10" s="18" t="n">
        <f aca="false">SUM('Model inputs'!C50,'Model inputs'!D50,'Model inputs'!E50,'Model inputs'!F50,'Model inputs'!G50,'Model inputs'!H50,'Model inputs'!I50,'Model inputs'!J50,'Model inputs'!K50,'Model inputs'!L50,'Model inputs'!M50,'Model inputs'!N50)</f>
        <v>23456</v>
      </c>
      <c r="I10" s="18" t="n">
        <f aca="false">SUM('Model inputs'!C47,'Model inputs'!D47,'Model inputs'!E47,'Model inputs'!F47,'Model inputs'!G47,'Model inputs'!H47,'Model inputs'!I47,'Model inputs'!J47,'Model inputs'!K47,'Model inputs'!L47,'Model inputs'!M47,'Model inputs'!N47)</f>
        <v>22256</v>
      </c>
      <c r="J10" s="18" t="n">
        <f aca="false">SUM('Model inputs'!C46,'Model inputs'!D46,'Model inputs'!E46,'Model inputs'!F46,'Model inputs'!G46,'Model inputs'!H46,'Model inputs'!I46,'Model inputs'!J46,'Model inputs'!K46,'Model inputs'!L46,'Model inputs'!M46,'Model inputs'!N46)</f>
        <v>21056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9"/>
  </cols>
  <sheetData>
    <row r="1" customFormat="false" ht="31.5" hidden="false" customHeight="true" outlineLevel="0" collapsed="false">
      <c r="A1" s="13" t="s">
        <v>52</v>
      </c>
      <c r="B1" s="13"/>
      <c r="C1" s="13"/>
      <c r="D1" s="13"/>
    </row>
    <row r="2" customFormat="false" ht="19.5" hidden="false" customHeight="true" outlineLevel="0" collapsed="false">
      <c r="A2" s="14" t="s">
        <v>83</v>
      </c>
    </row>
    <row r="4" customFormat="false" ht="21.75" hidden="false" customHeight="true" outlineLevel="0" collapsed="false">
      <c r="A4" s="15" t="s">
        <v>84</v>
      </c>
      <c r="B4" s="16" t="s">
        <v>85</v>
      </c>
      <c r="C4" s="16" t="s">
        <v>145</v>
      </c>
      <c r="D4" s="16" t="s">
        <v>148</v>
      </c>
    </row>
    <row r="5" customFormat="false" ht="18" hidden="false" customHeight="false" outlineLevel="0" collapsed="false">
      <c r="A5" s="17" t="s">
        <v>149</v>
      </c>
      <c r="B5" s="35" t="n">
        <f aca="false">99</f>
        <v>99</v>
      </c>
      <c r="C5" s="35" t="n">
        <f aca="false">99</f>
        <v>99</v>
      </c>
      <c r="D5" s="35" t="n">
        <f aca="false">99</f>
        <v>99</v>
      </c>
    </row>
    <row r="6" customFormat="false" ht="18" hidden="false" customHeight="false" outlineLevel="0" collapsed="false">
      <c r="A6" s="19" t="s">
        <v>150</v>
      </c>
      <c r="B6" s="22" t="n">
        <f aca="false">500</f>
        <v>500</v>
      </c>
      <c r="C6" s="22" t="n">
        <f aca="false">500</f>
        <v>500</v>
      </c>
      <c r="D6" s="22" t="n">
        <f aca="false">500</f>
        <v>500</v>
      </c>
    </row>
    <row r="7" customFormat="false" ht="18" hidden="false" customHeight="false" outlineLevel="0" collapsed="false">
      <c r="A7" s="19" t="s">
        <v>57</v>
      </c>
      <c r="B7" s="21" t="n">
        <f aca="false">99</f>
        <v>99</v>
      </c>
      <c r="C7" s="21" t="n">
        <f aca="false">'Price &amp; Fixed Cost Sensitivity'!G5</f>
        <v>109</v>
      </c>
      <c r="D7" s="21" t="n">
        <f aca="false">'Price &amp; Fixed Cost Sensitivity'!J5</f>
        <v>119</v>
      </c>
    </row>
    <row r="8" customFormat="false" ht="18" hidden="false" customHeight="false" outlineLevel="0" collapsed="false">
      <c r="A8" s="19" t="s">
        <v>151</v>
      </c>
      <c r="B8" s="22" t="n">
        <f aca="false">'Year 1 Assumptions'!B14*'Year 1 Assumptions'!B11</f>
        <v>30</v>
      </c>
      <c r="C8" s="22" t="n">
        <f aca="false">'Model inputs'!Z37*'Model inputs'!Z27</f>
        <v>30</v>
      </c>
      <c r="D8" s="22" t="n">
        <f aca="false">'Model inputs'!Z40*'Model inputs'!Z30</f>
        <v>30</v>
      </c>
    </row>
    <row r="9" customFormat="false" ht="18" hidden="false" customHeight="false" outlineLevel="0" collapsed="false">
      <c r="A9" s="19" t="s">
        <v>152</v>
      </c>
      <c r="B9" s="22" t="n">
        <f aca="false">'Demand Thresholds'!B5-'Demand Thresholds'!B8</f>
        <v>69</v>
      </c>
      <c r="C9" s="22" t="n">
        <f aca="false">'Demand Thresholds'!C5-'Demand Thresholds'!C8</f>
        <v>69</v>
      </c>
      <c r="D9" s="22" t="n">
        <f aca="false">'Demand Thresholds'!D5-'Demand Thresholds'!D8</f>
        <v>69</v>
      </c>
    </row>
    <row r="10" customFormat="false" ht="18" hidden="false" customHeight="false" outlineLevel="0" collapsed="false">
      <c r="A10" s="19" t="s">
        <v>153</v>
      </c>
      <c r="B10" s="22" t="n">
        <f aca="false">'Demand Thresholds'!B7-'Demand Thresholds'!B8</f>
        <v>69</v>
      </c>
      <c r="C10" s="22" t="n">
        <f aca="false">'Demand Thresholds'!C7-'Demand Thresholds'!C8</f>
        <v>79</v>
      </c>
      <c r="D10" s="22" t="n">
        <f aca="false">'Demand Thresholds'!D7-'Demand Thresholds'!D8</f>
        <v>89</v>
      </c>
    </row>
    <row r="11" customFormat="false" ht="18" hidden="false" customHeight="false" outlineLevel="0" collapsed="false">
      <c r="A11" s="19" t="s">
        <v>154</v>
      </c>
      <c r="B11" s="36" t="n">
        <f aca="false">IF('Base Annual Reconciliation'!B5="","",'Base Annual Reconciliation'!B5)</f>
        <v>304</v>
      </c>
      <c r="C11" s="36" t="n">
        <f aca="false">IF('Price &amp; Fixed Cost Sensitivity'!G7="","",'Price &amp; Fixed Cost Sensitivity'!G7)</f>
        <v>304</v>
      </c>
      <c r="D11" s="36" t="n">
        <f aca="false">IF('Price &amp; Fixed Cost Sensitivity'!J7="","",'Price &amp; Fixed Cost Sensitivity'!J7)</f>
        <v>304</v>
      </c>
    </row>
    <row r="12" customFormat="false" ht="18" hidden="false" customHeight="false" outlineLevel="0" collapsed="false">
      <c r="A12" s="19" t="s">
        <v>155</v>
      </c>
      <c r="B12" s="22" t="n">
        <f aca="false">'Demand Thresholds'!B11*'Demand Thresholds'!B9-'Demand Thresholds'!B6*12</f>
        <v>14976</v>
      </c>
      <c r="C12" s="22" t="n">
        <f aca="false">'Demand Thresholds'!C11*'Demand Thresholds'!C9-'Demand Thresholds'!C6*12</f>
        <v>14976</v>
      </c>
      <c r="D12" s="22" t="n">
        <f aca="false">'Demand Thresholds'!D11*'Demand Thresholds'!D9-'Demand Thresholds'!D6*12</f>
        <v>14976</v>
      </c>
    </row>
    <row r="13" customFormat="false" ht="18" hidden="false" customHeight="false" outlineLevel="0" collapsed="false">
      <c r="A13" s="19" t="s">
        <v>156</v>
      </c>
      <c r="B13" s="36" t="n">
        <f aca="false">IF(IF(IF(ISERROR('Demand Thresholds'!B10&gt;0),'Demand Thresholds'!B10&gt;0,IF('Demand Thresholds'!B10="","",'Demand Thresholds'!B10&gt;0))="",FALSE(),IF(ISERROR('Demand Thresholds'!B10&gt;0),'Demand Thresholds'!B10&gt;0,IF('Demand Thresholds'!B10="","",'Demand Thresholds'!B10&gt;0))),'Demand Thresholds'!B11*'Demand Thresholds'!B9/'Demand Thresholds'!B10,"")</f>
        <v>304</v>
      </c>
      <c r="C13" s="36" t="n">
        <f aca="false">IF(IF(IF(ISERROR('Demand Thresholds'!C10&gt;0),'Demand Thresholds'!C10&gt;0,IF('Demand Thresholds'!C10="","",'Demand Thresholds'!C10&gt;0))="",FALSE(),IF(ISERROR('Demand Thresholds'!C10&gt;0),'Demand Thresholds'!C10&gt;0,IF('Demand Thresholds'!C10="","",'Demand Thresholds'!C10&gt;0))),'Demand Thresholds'!C11*'Demand Thresholds'!C9/'Demand Thresholds'!C10,"")</f>
        <v>265.518987341772</v>
      </c>
      <c r="D13" s="36" t="n">
        <f aca="false">IF(IF(IF(ISERROR('Demand Thresholds'!D10&gt;0),'Demand Thresholds'!D10&gt;0,IF('Demand Thresholds'!D10="","",'Demand Thresholds'!D10&gt;0))="",FALSE(),IF(ISERROR('Demand Thresholds'!D10&gt;0),'Demand Thresholds'!D10&gt;0,IF('Demand Thresholds'!D10="","",'Demand Thresholds'!D10&gt;0))),'Demand Thresholds'!D11*'Demand Thresholds'!D9/'Demand Thresholds'!D10,"")</f>
        <v>235.685393258427</v>
      </c>
    </row>
    <row r="14" customFormat="false" ht="18" hidden="false" customHeight="false" outlineLevel="0" collapsed="false">
      <c r="A14" s="19" t="s">
        <v>157</v>
      </c>
      <c r="B14" s="24" t="n">
        <f aca="false">IF('Demand Thresholds'!B13="","",CEILING('Demand Thresholds'!B13,1))</f>
        <v>304</v>
      </c>
      <c r="C14" s="24" t="n">
        <f aca="false">IF('Demand Thresholds'!C13="","",CEILING('Demand Thresholds'!C13,1))</f>
        <v>266</v>
      </c>
      <c r="D14" s="24" t="n">
        <f aca="false">IF('Demand Thresholds'!D13="","",CEILING('Demand Thresholds'!D13,1))</f>
        <v>236</v>
      </c>
    </row>
    <row r="15" customFormat="false" ht="18" hidden="false" customHeight="false" outlineLevel="0" collapsed="false">
      <c r="A15" s="19" t="s">
        <v>158</v>
      </c>
      <c r="B15" s="37" t="n">
        <f aca="false">IFERROR(1-'Demand Thresholds'!B13/'Demand Thresholds'!B11,"")</f>
        <v>0</v>
      </c>
      <c r="C15" s="37" t="n">
        <f aca="false">IFERROR(1-'Demand Thresholds'!C13/'Demand Thresholds'!C11,"")</f>
        <v>0.126582278481013</v>
      </c>
      <c r="D15" s="37" t="n">
        <f aca="false">IFERROR(1-'Demand Thresholds'!D13/'Demand Thresholds'!D11,"")</f>
        <v>0.224719101123596</v>
      </c>
    </row>
    <row r="16" customFormat="false" ht="18" hidden="false" customHeight="false" outlineLevel="0" collapsed="false">
      <c r="A16" s="19" t="s">
        <v>69</v>
      </c>
      <c r="B16" s="36" t="n">
        <f aca="false">IF(IF(IF(ISERROR('Demand Thresholds'!B10&gt;0),'Demand Thresholds'!B10&gt;0,IF('Demand Thresholds'!B10="","",'Demand Thresholds'!B10&gt;0))="",FALSE(),IF(ISERROR('Demand Thresholds'!B10&gt;0),'Demand Thresholds'!B10&gt;0,IF('Demand Thresholds'!B10="","",'Demand Thresholds'!B10&gt;0))),'Demand Thresholds'!B6*12/'Demand Thresholds'!B10,"")</f>
        <v>86.9565217391304</v>
      </c>
      <c r="C16" s="36" t="n">
        <f aca="false">IF(IF(IF(ISERROR('Demand Thresholds'!C10&gt;0),'Demand Thresholds'!C10&gt;0,IF('Demand Thresholds'!C10="","",'Demand Thresholds'!C10&gt;0))="",FALSE(),IF(ISERROR('Demand Thresholds'!C10&gt;0),'Demand Thresholds'!C10&gt;0,IF('Demand Thresholds'!C10="","",'Demand Thresholds'!C10&gt;0))),'Demand Thresholds'!C6*12/'Demand Thresholds'!C10,"")</f>
        <v>75.9493670886076</v>
      </c>
      <c r="D16" s="36" t="n">
        <f aca="false">IF(IF(IF(ISERROR('Demand Thresholds'!D10&gt;0),'Demand Thresholds'!D10&gt;0,IF('Demand Thresholds'!D10="","",'Demand Thresholds'!D10&gt;0))="",FALSE(),IF(ISERROR('Demand Thresholds'!D10&gt;0),'Demand Thresholds'!D10&gt;0,IF('Demand Thresholds'!D10="","",'Demand Thresholds'!D10&gt;0))),'Demand Thresholds'!D6*12/'Demand Thresholds'!D10,"")</f>
        <v>67.4157303370787</v>
      </c>
    </row>
    <row r="17" customFormat="false" ht="18" hidden="false" customHeight="false" outlineLevel="0" collapsed="false">
      <c r="A17" s="19" t="s">
        <v>159</v>
      </c>
      <c r="B17" s="24" t="n">
        <f aca="false">IF('Demand Thresholds'!B16="","",CEILING('Demand Thresholds'!B16,1))</f>
        <v>87</v>
      </c>
      <c r="C17" s="24" t="n">
        <f aca="false">IF('Demand Thresholds'!C16="","",CEILING('Demand Thresholds'!C16,1))</f>
        <v>76</v>
      </c>
      <c r="D17" s="24" t="n">
        <f aca="false">IF('Demand Thresholds'!D16="","",CEILING('Demand Thresholds'!D16,1))</f>
        <v>68</v>
      </c>
    </row>
    <row r="18" customFormat="false" ht="18" hidden="false" customHeight="false" outlineLevel="0" collapsed="false">
      <c r="A18" s="19" t="s">
        <v>160</v>
      </c>
      <c r="B18" s="37" t="n">
        <f aca="false">IFERROR('Demand Thresholds'!B16/'Demand Thresholds'!B11,"")</f>
        <v>0.28604118993135</v>
      </c>
      <c r="C18" s="37" t="n">
        <f aca="false">IFERROR('Demand Thresholds'!C16/'Demand Thresholds'!C11,"")</f>
        <v>0.24983344437042</v>
      </c>
      <c r="D18" s="37" t="n">
        <f aca="false">IFERROR('Demand Thresholds'!D16/'Demand Thresholds'!D11,"")</f>
        <v>0.221762270845653</v>
      </c>
    </row>
    <row r="19" customFormat="false" ht="18" hidden="false" customHeight="false" outlineLevel="0" collapsed="false">
      <c r="A19" s="17" t="s">
        <v>161</v>
      </c>
      <c r="B19" s="35" t="n">
        <f aca="false">IF('Demand Thresholds'!B13="","",'Demand Thresholds'!B13*'Demand Thresholds'!B10-'Demand Thresholds'!B6*12-'Demand Thresholds'!B12)</f>
        <v>0</v>
      </c>
      <c r="C19" s="35" t="n">
        <f aca="false">IF('Demand Thresholds'!C13="","",'Demand Thresholds'!C13*'Demand Thresholds'!C10-'Demand Thresholds'!C6*12-'Demand Thresholds'!C12)</f>
        <v>0</v>
      </c>
      <c r="D19" s="35" t="n">
        <f aca="false">IF('Demand Thresholds'!D13="","",'Demand Thresholds'!D13*'Demand Thresholds'!D10-'Demand Thresholds'!D6*12-'Demand Thresholds'!D12)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9"/>
  </cols>
  <sheetData>
    <row r="1" customFormat="false" ht="31.5" hidden="false" customHeight="true" outlineLevel="0" collapsed="false">
      <c r="A1" s="13" t="s">
        <v>54</v>
      </c>
      <c r="B1" s="13"/>
    </row>
    <row r="2" customFormat="false" ht="19.5" hidden="false" customHeight="true" outlineLevel="0" collapsed="false">
      <c r="A2" s="14" t="s">
        <v>83</v>
      </c>
    </row>
    <row r="4" customFormat="false" ht="21.75" hidden="false" customHeight="true" outlineLevel="0" collapsed="false">
      <c r="A4" s="15" t="s">
        <v>84</v>
      </c>
      <c r="B4" s="16" t="s">
        <v>85</v>
      </c>
    </row>
    <row r="5" customFormat="false" ht="18" hidden="false" customHeight="false" outlineLevel="0" collapsed="false">
      <c r="A5" s="17" t="s">
        <v>162</v>
      </c>
      <c r="B5" s="38" t="n">
        <f aca="false">0</f>
        <v>0</v>
      </c>
    </row>
    <row r="6" customFormat="false" ht="18" hidden="false" customHeight="false" outlineLevel="0" collapsed="false">
      <c r="A6" s="19" t="s">
        <v>57</v>
      </c>
      <c r="B6" s="21" t="n">
        <f aca="false">99</f>
        <v>99</v>
      </c>
    </row>
    <row r="7" customFormat="false" ht="18" hidden="false" customHeight="false" outlineLevel="0" collapsed="false">
      <c r="A7" s="19" t="s">
        <v>105</v>
      </c>
      <c r="B7" s="21" t="n">
        <f aca="false">'Base Projection Controls'!B5</f>
        <v>6000</v>
      </c>
    </row>
    <row r="8" customFormat="false" ht="18" hidden="false" customHeight="false" outlineLevel="0" collapsed="false">
      <c r="A8" s="19" t="s">
        <v>163</v>
      </c>
      <c r="B8" s="36" t="n">
        <f aca="false">'Base Annual Reconciliation'!B5*(1-'Demand Loss Annual Calculation'!B5)</f>
        <v>304</v>
      </c>
    </row>
    <row r="9" customFormat="false" ht="18" hidden="false" customHeight="false" outlineLevel="0" collapsed="false">
      <c r="A9" s="19" t="s">
        <v>164</v>
      </c>
      <c r="B9" s="22" t="n">
        <f aca="false">'Demand Loss Annual Calculation'!B8*'Demand Loss Annual Calculation'!B6</f>
        <v>30096</v>
      </c>
    </row>
    <row r="10" customFormat="false" ht="18" hidden="false" customHeight="false" outlineLevel="0" collapsed="false">
      <c r="A10" s="19" t="s">
        <v>165</v>
      </c>
      <c r="B10" s="22" t="n">
        <f aca="false">'Demand Loss Annual Calculation'!B8*'Year 1 Assumptions'!B14*'Year 1 Assumptions'!B11</f>
        <v>9120</v>
      </c>
    </row>
    <row r="11" customFormat="false" ht="18" hidden="false" customHeight="false" outlineLevel="0" collapsed="false">
      <c r="A11" s="19" t="s">
        <v>166</v>
      </c>
      <c r="B11" s="22" t="n">
        <f aca="false">'Demand Loss Annual Calculation'!B9-'Demand Loss Annual Calculation'!B10-'Demand Loss Annual Calculation'!B7</f>
        <v>14976</v>
      </c>
    </row>
    <row r="12" customFormat="false" ht="18" hidden="false" customHeight="false" outlineLevel="0" collapsed="false">
      <c r="A12" s="19" t="s">
        <v>167</v>
      </c>
      <c r="B12" s="22" t="n">
        <f aca="false">'Year 1 Assumptions'!B7+'Demand Loss Annual Calculation'!B11</f>
        <v>34976</v>
      </c>
    </row>
    <row r="13" customFormat="false" ht="18" hidden="false" customHeight="false" outlineLevel="0" collapsed="false">
      <c r="A13" s="17" t="s">
        <v>168</v>
      </c>
      <c r="B13" s="35" t="n">
        <f aca="false">'Demand Loss Annual Calculation'!B11-'Demand Thresholds'!B12</f>
        <v>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1" width="42"/>
    <col collapsed="false" customWidth="true" hidden="false" outlineLevel="0" max="27" min="2" style="1" width="19"/>
  </cols>
  <sheetData>
    <row r="1" customFormat="false" ht="31.5" hidden="false" customHeight="true" outlineLevel="0" collapsed="false">
      <c r="A1" s="13" t="s">
        <v>55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customFormat="false" ht="19.5" hidden="false" customHeight="true" outlineLevel="0" collapsed="false">
      <c r="A2" s="39" t="s">
        <v>169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</row>
    <row r="4" customFormat="false" ht="18" hidden="false" customHeight="false" outlineLevel="0" collapsed="false">
      <c r="A4" s="40" t="s">
        <v>170</v>
      </c>
    </row>
    <row r="5" customFormat="false" ht="21.75" hidden="false" customHeight="true" outlineLevel="0" collapsed="false">
      <c r="A5" s="15" t="s">
        <v>171</v>
      </c>
      <c r="B5" s="16" t="s">
        <v>172</v>
      </c>
      <c r="C5" s="30" t="s">
        <v>107</v>
      </c>
      <c r="D5" s="16" t="s">
        <v>108</v>
      </c>
      <c r="E5" s="16" t="s">
        <v>109</v>
      </c>
      <c r="F5" s="30" t="s">
        <v>110</v>
      </c>
      <c r="G5" s="16" t="s">
        <v>111</v>
      </c>
      <c r="H5" s="16" t="s">
        <v>112</v>
      </c>
      <c r="I5" s="30" t="s">
        <v>113</v>
      </c>
      <c r="J5" s="16" t="s">
        <v>114</v>
      </c>
      <c r="K5" s="16" t="s">
        <v>115</v>
      </c>
      <c r="L5" s="30" t="s">
        <v>116</v>
      </c>
      <c r="M5" s="16" t="s">
        <v>117</v>
      </c>
      <c r="N5" s="16" t="s">
        <v>118</v>
      </c>
      <c r="O5" s="30" t="s">
        <v>173</v>
      </c>
      <c r="P5" s="16" t="s">
        <v>174</v>
      </c>
      <c r="Q5" s="16" t="s">
        <v>175</v>
      </c>
      <c r="R5" s="30" t="s">
        <v>176</v>
      </c>
      <c r="S5" s="16" t="s">
        <v>177</v>
      </c>
      <c r="T5" s="16" t="s">
        <v>178</v>
      </c>
      <c r="U5" s="30" t="s">
        <v>179</v>
      </c>
      <c r="V5" s="16" t="s">
        <v>180</v>
      </c>
      <c r="W5" s="16" t="s">
        <v>181</v>
      </c>
      <c r="X5" s="30" t="s">
        <v>182</v>
      </c>
      <c r="Y5" s="16" t="s">
        <v>183</v>
      </c>
      <c r="Z5" s="16" t="s">
        <v>85</v>
      </c>
      <c r="AA5" s="16" t="s">
        <v>85</v>
      </c>
    </row>
    <row r="6" customFormat="false" ht="18" hidden="false" customHeight="false" outlineLevel="0" collapsed="false">
      <c r="A6" s="41" t="s">
        <v>184</v>
      </c>
      <c r="B6" s="32" t="n">
        <f aca="false">'Model inputs'!B15+'Model inputs'!B41</f>
        <v>-1500</v>
      </c>
      <c r="C6" s="32" t="n">
        <f aca="false">'Model inputs'!C15+'Model inputs'!C41</f>
        <v>19569</v>
      </c>
      <c r="D6" s="32" t="n">
        <f aca="false">'Model inputs'!D15+'Model inputs'!D41</f>
        <v>19345</v>
      </c>
      <c r="E6" s="32" t="n">
        <f aca="false">'Model inputs'!E15+'Model inputs'!E41</f>
        <v>19466</v>
      </c>
      <c r="F6" s="32" t="n">
        <f aca="false">'Model inputs'!F15+'Model inputs'!F41</f>
        <v>19932</v>
      </c>
      <c r="G6" s="32" t="n">
        <f aca="false">'Model inputs'!G15+'Model inputs'!G41</f>
        <v>20812</v>
      </c>
      <c r="H6" s="32" t="n">
        <f aca="false">'Model inputs'!H15+'Model inputs'!H41</f>
        <v>22106</v>
      </c>
      <c r="I6" s="32" t="n">
        <f aca="false">'Model inputs'!I15+'Model inputs'!I41</f>
        <v>23814</v>
      </c>
      <c r="J6" s="32" t="n">
        <f aca="false">'Model inputs'!J15+'Model inputs'!J41</f>
        <v>25936</v>
      </c>
      <c r="K6" s="32" t="n">
        <f aca="false">'Model inputs'!K15+'Model inputs'!K41</f>
        <v>28196</v>
      </c>
      <c r="L6" s="32" t="n">
        <f aca="false">'Model inputs'!L15+'Model inputs'!L41</f>
        <v>30456</v>
      </c>
      <c r="M6" s="32" t="n">
        <f aca="false">'Model inputs'!M15+'Model inputs'!M41</f>
        <v>32716</v>
      </c>
      <c r="N6" s="32" t="n">
        <f aca="false">'Model inputs'!N15+'Model inputs'!N41</f>
        <v>34976</v>
      </c>
    </row>
    <row r="7" customFormat="false" ht="18" hidden="false" customHeight="false" outlineLevel="0" collapsed="false">
      <c r="A7" s="41" t="s">
        <v>185</v>
      </c>
      <c r="B7" s="32" t="n">
        <f aca="false">IF('Model inputs'!B6="","",'Model inputs'!B6)</f>
        <v>-1500</v>
      </c>
      <c r="C7" s="32" t="n">
        <f aca="false">IF('Model inputs'!C6="","",'Model inputs'!C6)</f>
        <v>19569</v>
      </c>
      <c r="D7" s="32" t="n">
        <f aca="false">IF('Model inputs'!D6="","",'Model inputs'!D6)</f>
        <v>19345</v>
      </c>
      <c r="E7" s="32" t="n">
        <f aca="false">IF('Model inputs'!E6="","",'Model inputs'!E6)</f>
        <v>19466</v>
      </c>
      <c r="F7" s="32" t="n">
        <f aca="false">IF('Model inputs'!F6="","",'Model inputs'!F6)</f>
        <v>19932</v>
      </c>
      <c r="G7" s="32" t="n">
        <f aca="false">IF('Model inputs'!G6="","",'Model inputs'!G6)</f>
        <v>20812</v>
      </c>
      <c r="H7" s="32" t="n">
        <f aca="false">IF('Model inputs'!H6="","",'Model inputs'!H6)</f>
        <v>22106</v>
      </c>
      <c r="I7" s="32" t="n">
        <f aca="false">IF('Model inputs'!I6="","",'Model inputs'!I6)</f>
        <v>23814</v>
      </c>
      <c r="J7" s="32" t="n">
        <f aca="false">IF('Model inputs'!J6="","",'Model inputs'!J6)</f>
        <v>25936</v>
      </c>
      <c r="K7" s="32" t="n">
        <f aca="false">IF('Model inputs'!K6="","",'Model inputs'!K6)</f>
        <v>28196</v>
      </c>
      <c r="L7" s="32" t="n">
        <f aca="false">IF('Model inputs'!L6="","",'Model inputs'!L6)</f>
        <v>30456</v>
      </c>
      <c r="M7" s="32" t="n">
        <f aca="false">IF('Model inputs'!M6="","",'Model inputs'!M6)</f>
        <v>32716</v>
      </c>
      <c r="N7" s="32" t="n">
        <f aca="false">IF('Model inputs'!N6="","",'Model inputs'!N6)</f>
        <v>34976</v>
      </c>
      <c r="O7" s="32" t="n">
        <v>0</v>
      </c>
      <c r="P7" s="32" t="n">
        <v>0</v>
      </c>
      <c r="Q7" s="32" t="n">
        <v>0</v>
      </c>
      <c r="R7" s="32" t="n">
        <v>0</v>
      </c>
      <c r="S7" s="32" t="n">
        <v>0</v>
      </c>
      <c r="T7" s="32" t="n">
        <v>0</v>
      </c>
      <c r="U7" s="32" t="n">
        <v>0</v>
      </c>
      <c r="V7" s="32" t="n">
        <v>0</v>
      </c>
      <c r="W7" s="32" t="n">
        <v>0</v>
      </c>
      <c r="X7" s="32" t="n">
        <f aca="false">'Model inputs'!X15+'Model inputs'!X41</f>
        <v>-500</v>
      </c>
      <c r="Y7" s="32" t="n">
        <f aca="false">'Model inputs'!Y15+'Model inputs'!Y41</f>
        <v>-1000</v>
      </c>
    </row>
    <row r="8" customFormat="false" ht="18" hidden="false" customHeight="false" outlineLevel="0" collapsed="false">
      <c r="A8" s="41" t="s">
        <v>186</v>
      </c>
      <c r="B8" s="32" t="n">
        <f aca="false">'Model inputs'!B77+'Model inputs'!B43</f>
        <v>-1200</v>
      </c>
      <c r="C8" s="32" t="n">
        <f aca="false">'Model inputs'!C77+'Model inputs'!C43</f>
        <v>19669</v>
      </c>
      <c r="D8" s="32" t="n">
        <f aca="false">'Model inputs'!D77+'Model inputs'!D43</f>
        <v>19545</v>
      </c>
      <c r="E8" s="32" t="n">
        <f aca="false">'Model inputs'!E77+'Model inputs'!E43</f>
        <v>19766</v>
      </c>
      <c r="F8" s="32" t="n">
        <f aca="false">'Model inputs'!F77+'Model inputs'!F43</f>
        <v>20332</v>
      </c>
      <c r="G8" s="32" t="n">
        <f aca="false">'Model inputs'!G77+'Model inputs'!G43</f>
        <v>21312</v>
      </c>
      <c r="H8" s="32" t="n">
        <f aca="false">'Model inputs'!H77+'Model inputs'!H43</f>
        <v>22706</v>
      </c>
      <c r="I8" s="32" t="n">
        <f aca="false">'Model inputs'!I77+'Model inputs'!I43</f>
        <v>24514</v>
      </c>
      <c r="J8" s="32" t="n">
        <f aca="false">'Model inputs'!J77+'Model inputs'!J43</f>
        <v>26736</v>
      </c>
      <c r="K8" s="32" t="n">
        <f aca="false">'Model inputs'!K77+'Model inputs'!K43</f>
        <v>29096</v>
      </c>
      <c r="L8" s="32" t="n">
        <f aca="false">'Model inputs'!L77+'Model inputs'!L43</f>
        <v>31456</v>
      </c>
      <c r="M8" s="32" t="n">
        <f aca="false">'Model inputs'!M77+'Model inputs'!M43</f>
        <v>33816</v>
      </c>
      <c r="N8" s="32" t="n">
        <f aca="false">'Model inputs'!N77+'Model inputs'!N43</f>
        <v>36176</v>
      </c>
      <c r="O8" s="32" t="n">
        <v>0</v>
      </c>
      <c r="P8" s="32" t="n">
        <v>0</v>
      </c>
      <c r="Q8" s="32" t="n">
        <v>0</v>
      </c>
      <c r="R8" s="32" t="n">
        <v>0</v>
      </c>
      <c r="S8" s="32" t="n">
        <v>0</v>
      </c>
      <c r="T8" s="32" t="n">
        <v>0</v>
      </c>
      <c r="U8" s="32" t="n">
        <v>0</v>
      </c>
      <c r="V8" s="32" t="n">
        <v>0</v>
      </c>
      <c r="W8" s="32" t="n">
        <v>0</v>
      </c>
      <c r="X8" s="32" t="n">
        <f aca="false">'Model inputs'!X77+'Model inputs'!X43</f>
        <v>-400</v>
      </c>
      <c r="Y8" s="32" t="n">
        <f aca="false">'Model inputs'!Y77+'Model inputs'!Y43</f>
        <v>-800</v>
      </c>
    </row>
    <row r="9" customFormat="false" ht="18" hidden="false" customHeight="false" outlineLevel="0" collapsed="false">
      <c r="A9" s="41" t="s">
        <v>187</v>
      </c>
      <c r="B9" s="32" t="n">
        <f aca="false">'Model inputs'!B78+'Model inputs'!B45</f>
        <v>-900</v>
      </c>
      <c r="C9" s="32" t="n">
        <f aca="false">'Model inputs'!C78+'Model inputs'!C45</f>
        <v>19769</v>
      </c>
      <c r="D9" s="32" t="n">
        <f aca="false">'Model inputs'!D78+'Model inputs'!D45</f>
        <v>19745</v>
      </c>
      <c r="E9" s="32" t="n">
        <f aca="false">'Model inputs'!E78+'Model inputs'!E45</f>
        <v>20066</v>
      </c>
      <c r="F9" s="32" t="n">
        <f aca="false">'Model inputs'!F78+'Model inputs'!F45</f>
        <v>20732</v>
      </c>
      <c r="G9" s="32" t="n">
        <f aca="false">'Model inputs'!G78+'Model inputs'!G45</f>
        <v>21812</v>
      </c>
      <c r="H9" s="32" t="n">
        <f aca="false">'Model inputs'!H78+'Model inputs'!H45</f>
        <v>23306</v>
      </c>
      <c r="I9" s="32" t="n">
        <f aca="false">'Model inputs'!I78+'Model inputs'!I45</f>
        <v>25214</v>
      </c>
      <c r="J9" s="32" t="n">
        <f aca="false">'Model inputs'!J78+'Model inputs'!J45</f>
        <v>27536</v>
      </c>
      <c r="K9" s="32" t="n">
        <f aca="false">'Model inputs'!K78+'Model inputs'!K45</f>
        <v>29996</v>
      </c>
      <c r="L9" s="32" t="n">
        <f aca="false">'Model inputs'!L78+'Model inputs'!L45</f>
        <v>32456</v>
      </c>
      <c r="M9" s="32" t="n">
        <f aca="false">'Model inputs'!M78+'Model inputs'!M45</f>
        <v>34916</v>
      </c>
      <c r="N9" s="32" t="n">
        <f aca="false">'Model inputs'!N78+'Model inputs'!N45</f>
        <v>37376</v>
      </c>
      <c r="O9" s="32" t="n">
        <v>0</v>
      </c>
      <c r="P9" s="32" t="n">
        <v>0</v>
      </c>
      <c r="Q9" s="32" t="n">
        <v>0</v>
      </c>
      <c r="R9" s="32" t="n">
        <v>0</v>
      </c>
      <c r="S9" s="32" t="n">
        <v>0</v>
      </c>
      <c r="T9" s="32" t="n">
        <v>0</v>
      </c>
      <c r="U9" s="32" t="n">
        <v>0</v>
      </c>
      <c r="V9" s="32" t="n">
        <v>0</v>
      </c>
      <c r="W9" s="32" t="n">
        <v>0</v>
      </c>
      <c r="X9" s="32" t="n">
        <f aca="false">'Model inputs'!X78+'Model inputs'!X45</f>
        <v>-300</v>
      </c>
      <c r="Y9" s="32" t="n">
        <f aca="false">'Model inputs'!Y78+'Model inputs'!Y45</f>
        <v>-600</v>
      </c>
    </row>
    <row r="10" customFormat="false" ht="18" hidden="false" customHeight="false" outlineLevel="0" collapsed="false">
      <c r="A10" s="41" t="s">
        <v>188</v>
      </c>
      <c r="B10" s="32" t="n">
        <f aca="false">'Model inputs'!B79+'Model inputs'!B48</f>
        <v>-1500</v>
      </c>
      <c r="C10" s="32" t="n">
        <f aca="false">'Model inputs'!C79+'Model inputs'!C48</f>
        <v>19569</v>
      </c>
      <c r="D10" s="32" t="n">
        <f aca="false">'Model inputs'!D79+'Model inputs'!D48</f>
        <v>19345</v>
      </c>
      <c r="E10" s="32" t="n">
        <f aca="false">'Model inputs'!E79+'Model inputs'!E48</f>
        <v>19466</v>
      </c>
      <c r="F10" s="32" t="n">
        <f aca="false">'Model inputs'!F79+'Model inputs'!F48</f>
        <v>19932</v>
      </c>
      <c r="G10" s="32" t="n">
        <f aca="false">'Model inputs'!G79+'Model inputs'!G48</f>
        <v>20812</v>
      </c>
      <c r="H10" s="32" t="n">
        <f aca="false">'Model inputs'!H79+'Model inputs'!H48</f>
        <v>22106</v>
      </c>
      <c r="I10" s="32" t="n">
        <f aca="false">'Model inputs'!I79+'Model inputs'!I48</f>
        <v>23814</v>
      </c>
      <c r="J10" s="32" t="n">
        <f aca="false">'Model inputs'!J79+'Model inputs'!J48</f>
        <v>25936</v>
      </c>
      <c r="K10" s="32" t="n">
        <f aca="false">'Model inputs'!K79+'Model inputs'!K48</f>
        <v>28196</v>
      </c>
      <c r="L10" s="32" t="n">
        <f aca="false">'Model inputs'!L79+'Model inputs'!L48</f>
        <v>30456</v>
      </c>
      <c r="M10" s="32" t="n">
        <f aca="false">'Model inputs'!M79+'Model inputs'!M48</f>
        <v>32716</v>
      </c>
      <c r="N10" s="32" t="n">
        <f aca="false">'Model inputs'!N79+'Model inputs'!N48</f>
        <v>34976</v>
      </c>
      <c r="O10" s="32" t="n">
        <v>0</v>
      </c>
      <c r="P10" s="32" t="n">
        <v>0</v>
      </c>
      <c r="Q10" s="32" t="n">
        <v>0</v>
      </c>
      <c r="R10" s="32" t="n">
        <v>0</v>
      </c>
      <c r="S10" s="32" t="n">
        <v>0</v>
      </c>
      <c r="T10" s="32" t="n">
        <v>0</v>
      </c>
      <c r="U10" s="32" t="n">
        <v>0</v>
      </c>
      <c r="V10" s="32" t="n">
        <v>0</v>
      </c>
      <c r="W10" s="32" t="n">
        <v>0</v>
      </c>
      <c r="X10" s="32" t="n">
        <f aca="false">'Model inputs'!X79+'Model inputs'!X48</f>
        <v>-500</v>
      </c>
      <c r="Y10" s="32" t="n">
        <f aca="false">'Model inputs'!Y79+'Model inputs'!Y48</f>
        <v>-1000</v>
      </c>
    </row>
    <row r="11" customFormat="false" ht="18" hidden="false" customHeight="false" outlineLevel="0" collapsed="false">
      <c r="A11" s="41" t="s">
        <v>189</v>
      </c>
      <c r="Z11" s="21" t="n">
        <f aca="false">20000</f>
        <v>20000</v>
      </c>
    </row>
    <row r="12" customFormat="false" ht="18" hidden="false" customHeight="false" outlineLevel="0" collapsed="false">
      <c r="A12" s="41" t="s">
        <v>190</v>
      </c>
      <c r="AA12" s="21" t="n">
        <f aca="false">20000</f>
        <v>20000</v>
      </c>
    </row>
    <row r="13" customFormat="false" ht="18" hidden="false" customHeight="false" outlineLevel="0" collapsed="false">
      <c r="A13" s="41" t="s">
        <v>191</v>
      </c>
      <c r="Z13" s="21" t="n">
        <f aca="false">20000</f>
        <v>20000</v>
      </c>
    </row>
    <row r="14" customFormat="false" ht="18" hidden="false" customHeight="false" outlineLevel="0" collapsed="false">
      <c r="A14" s="41" t="s">
        <v>192</v>
      </c>
      <c r="Z14" s="21" t="n">
        <f aca="false">20000</f>
        <v>20000</v>
      </c>
    </row>
    <row r="15" customFormat="false" ht="18" hidden="false" customHeight="false" outlineLevel="0" collapsed="false">
      <c r="A15" s="41" t="s">
        <v>193</v>
      </c>
      <c r="B15" s="32" t="n">
        <f aca="false">IF(IF(IF(ISERROR(DATE(2026,12,1)=DATE(YEAR('Model inputs'!AA63),MONTH('Model inputs'!AA63),1)),DATE(2026,12,1)=DATE(YEAR('Model inputs'!AA63),MONTH('Model inputs'!AA63),1),IF(DATE(YEAR('Model inputs'!AA63),MONTH('Model inputs'!AA63),1)="","",DATE(2026,12,1)=DATE(YEAR('Model inputs'!AA63),MONTH('Model inputs'!AA63),1)))="",FALSE(),IF(ISERROR(DATE(2026,12,1)=DATE(YEAR('Model inputs'!AA63),MONTH('Model inputs'!AA63),1)),DATE(2026,12,1)=DATE(YEAR('Model inputs'!AA63),MONTH('Model inputs'!AA63),1),IF(DATE(YEAR('Model inputs'!AA63),MONTH('Model inputs'!AA63),1)="","",DATE(2026,12,1)=DATE(YEAR('Model inputs'!AA63),MONTH('Model inputs'!AA63),1)))),IF('Model inputs'!Z11="","",'Model inputs'!Z11),IF('Model inputs'!Y7="","",'Model inputs'!Y7))</f>
        <v>-1000</v>
      </c>
      <c r="C15" s="32" t="n">
        <f aca="false">IF(IF(IF(ISERROR(DATE(2027,1,1)=DATE(YEAR('Model inputs'!AA63),MONTH('Model inputs'!AA63),1)),DATE(2027,1,1)=DATE(YEAR('Model inputs'!AA63),MONTH('Model inputs'!AA63),1),IF(DATE(YEAR('Model inputs'!AA63),MONTH('Model inputs'!AA63),1)="","",DATE(2027,1,1)=DATE(YEAR('Model inputs'!AA63),MONTH('Model inputs'!AA63),1)))="",FALSE(),IF(ISERROR(DATE(2027,1,1)=DATE(YEAR('Model inputs'!AA63),MONTH('Model inputs'!AA63),1)),DATE(2027,1,1)=DATE(YEAR('Model inputs'!AA63),MONTH('Model inputs'!AA63),1),IF(DATE(YEAR('Model inputs'!AA63),MONTH('Model inputs'!AA63),1)="","",DATE(2027,1,1)=DATE(YEAR('Model inputs'!AA63),MONTH('Model inputs'!AA63),1)))),IF('Model inputs'!Z11="","",'Model inputs'!Z11),IF('Model inputs'!B6="","",'Model inputs'!B6))</f>
        <v>20000</v>
      </c>
      <c r="D15" s="32" t="n">
        <f aca="false">IF(IF(IF(ISERROR(DATE(2027,2,1)=DATE(YEAR('Model inputs'!AA63),MONTH('Model inputs'!AA63),1)),DATE(2027,2,1)=DATE(YEAR('Model inputs'!AA63),MONTH('Model inputs'!AA63),1),IF(DATE(YEAR('Model inputs'!AA63),MONTH('Model inputs'!AA63),1)="","",DATE(2027,2,1)=DATE(YEAR('Model inputs'!AA63),MONTH('Model inputs'!AA63),1)))="",FALSE(),IF(ISERROR(DATE(2027,2,1)=DATE(YEAR('Model inputs'!AA63),MONTH('Model inputs'!AA63),1)),DATE(2027,2,1)=DATE(YEAR('Model inputs'!AA63),MONTH('Model inputs'!AA63),1),IF(DATE(YEAR('Model inputs'!AA63),MONTH('Model inputs'!AA63),1)="","",DATE(2027,2,1)=DATE(YEAR('Model inputs'!AA63),MONTH('Model inputs'!AA63),1)))),IF('Model inputs'!Z11="","",'Model inputs'!Z11),IF('Model inputs'!C6="","",'Model inputs'!C6))</f>
        <v>19569</v>
      </c>
      <c r="E15" s="32" t="n">
        <f aca="false">IF(IF(IF(ISERROR(DATE(2027,3,1)=DATE(YEAR('Model inputs'!AA63),MONTH('Model inputs'!AA63),1)),DATE(2027,3,1)=DATE(YEAR('Model inputs'!AA63),MONTH('Model inputs'!AA63),1),IF(DATE(YEAR('Model inputs'!AA63),MONTH('Model inputs'!AA63),1)="","",DATE(2027,3,1)=DATE(YEAR('Model inputs'!AA63),MONTH('Model inputs'!AA63),1)))="",FALSE(),IF(ISERROR(DATE(2027,3,1)=DATE(YEAR('Model inputs'!AA63),MONTH('Model inputs'!AA63),1)),DATE(2027,3,1)=DATE(YEAR('Model inputs'!AA63),MONTH('Model inputs'!AA63),1),IF(DATE(YEAR('Model inputs'!AA63),MONTH('Model inputs'!AA63),1)="","",DATE(2027,3,1)=DATE(YEAR('Model inputs'!AA63),MONTH('Model inputs'!AA63),1)))),IF('Model inputs'!Z11="","",'Model inputs'!Z11),IF('Model inputs'!D6="","",'Model inputs'!D6))</f>
        <v>19345</v>
      </c>
      <c r="F15" s="32" t="n">
        <f aca="false">IF(IF(IF(ISERROR(DATE(2027,4,1)=DATE(YEAR('Model inputs'!AA63),MONTH('Model inputs'!AA63),1)),DATE(2027,4,1)=DATE(YEAR('Model inputs'!AA63),MONTH('Model inputs'!AA63),1),IF(DATE(YEAR('Model inputs'!AA63),MONTH('Model inputs'!AA63),1)="","",DATE(2027,4,1)=DATE(YEAR('Model inputs'!AA63),MONTH('Model inputs'!AA63),1)))="",FALSE(),IF(ISERROR(DATE(2027,4,1)=DATE(YEAR('Model inputs'!AA63),MONTH('Model inputs'!AA63),1)),DATE(2027,4,1)=DATE(YEAR('Model inputs'!AA63),MONTH('Model inputs'!AA63),1),IF(DATE(YEAR('Model inputs'!AA63),MONTH('Model inputs'!AA63),1)="","",DATE(2027,4,1)=DATE(YEAR('Model inputs'!AA63),MONTH('Model inputs'!AA63),1)))),IF('Model inputs'!Z11="","",'Model inputs'!Z11),IF('Model inputs'!E6="","",'Model inputs'!E6))</f>
        <v>19466</v>
      </c>
      <c r="G15" s="32" t="n">
        <f aca="false">IF(IF(IF(ISERROR(DATE(2027,5,1)=DATE(YEAR('Model inputs'!AA63),MONTH('Model inputs'!AA63),1)),DATE(2027,5,1)=DATE(YEAR('Model inputs'!AA63),MONTH('Model inputs'!AA63),1),IF(DATE(YEAR('Model inputs'!AA63),MONTH('Model inputs'!AA63),1)="","",DATE(2027,5,1)=DATE(YEAR('Model inputs'!AA63),MONTH('Model inputs'!AA63),1)))="",FALSE(),IF(ISERROR(DATE(2027,5,1)=DATE(YEAR('Model inputs'!AA63),MONTH('Model inputs'!AA63),1)),DATE(2027,5,1)=DATE(YEAR('Model inputs'!AA63),MONTH('Model inputs'!AA63),1),IF(DATE(YEAR('Model inputs'!AA63),MONTH('Model inputs'!AA63),1)="","",DATE(2027,5,1)=DATE(YEAR('Model inputs'!AA63),MONTH('Model inputs'!AA63),1)))),IF('Model inputs'!Z11="","",'Model inputs'!Z11),IF('Model inputs'!F6="","",'Model inputs'!F6))</f>
        <v>19932</v>
      </c>
      <c r="H15" s="32" t="n">
        <f aca="false">IF(IF(IF(ISERROR(DATE(2027,6,1)=DATE(YEAR('Model inputs'!AA63),MONTH('Model inputs'!AA63),1)),DATE(2027,6,1)=DATE(YEAR('Model inputs'!AA63),MONTH('Model inputs'!AA63),1),IF(DATE(YEAR('Model inputs'!AA63),MONTH('Model inputs'!AA63),1)="","",DATE(2027,6,1)=DATE(YEAR('Model inputs'!AA63),MONTH('Model inputs'!AA63),1)))="",FALSE(),IF(ISERROR(DATE(2027,6,1)=DATE(YEAR('Model inputs'!AA63),MONTH('Model inputs'!AA63),1)),DATE(2027,6,1)=DATE(YEAR('Model inputs'!AA63),MONTH('Model inputs'!AA63),1),IF(DATE(YEAR('Model inputs'!AA63),MONTH('Model inputs'!AA63),1)="","",DATE(2027,6,1)=DATE(YEAR('Model inputs'!AA63),MONTH('Model inputs'!AA63),1)))),IF('Model inputs'!Z11="","",'Model inputs'!Z11),IF('Model inputs'!G6="","",'Model inputs'!G6))</f>
        <v>20812</v>
      </c>
      <c r="I15" s="32" t="n">
        <f aca="false">IF(IF(IF(ISERROR(DATE(2027,7,1)=DATE(YEAR('Model inputs'!AA63),MONTH('Model inputs'!AA63),1)),DATE(2027,7,1)=DATE(YEAR('Model inputs'!AA63),MONTH('Model inputs'!AA63),1),IF(DATE(YEAR('Model inputs'!AA63),MONTH('Model inputs'!AA63),1)="","",DATE(2027,7,1)=DATE(YEAR('Model inputs'!AA63),MONTH('Model inputs'!AA63),1)))="",FALSE(),IF(ISERROR(DATE(2027,7,1)=DATE(YEAR('Model inputs'!AA63),MONTH('Model inputs'!AA63),1)),DATE(2027,7,1)=DATE(YEAR('Model inputs'!AA63),MONTH('Model inputs'!AA63),1),IF(DATE(YEAR('Model inputs'!AA63),MONTH('Model inputs'!AA63),1)="","",DATE(2027,7,1)=DATE(YEAR('Model inputs'!AA63),MONTH('Model inputs'!AA63),1)))),IF('Model inputs'!Z11="","",'Model inputs'!Z11),IF('Model inputs'!H6="","",'Model inputs'!H6))</f>
        <v>22106</v>
      </c>
      <c r="J15" s="32" t="n">
        <f aca="false">IF(IF(IF(ISERROR(DATE(2027,8,1)=DATE(YEAR('Model inputs'!AA63),MONTH('Model inputs'!AA63),1)),DATE(2027,8,1)=DATE(YEAR('Model inputs'!AA63),MONTH('Model inputs'!AA63),1),IF(DATE(YEAR('Model inputs'!AA63),MONTH('Model inputs'!AA63),1)="","",DATE(2027,8,1)=DATE(YEAR('Model inputs'!AA63),MONTH('Model inputs'!AA63),1)))="",FALSE(),IF(ISERROR(DATE(2027,8,1)=DATE(YEAR('Model inputs'!AA63),MONTH('Model inputs'!AA63),1)),DATE(2027,8,1)=DATE(YEAR('Model inputs'!AA63),MONTH('Model inputs'!AA63),1),IF(DATE(YEAR('Model inputs'!AA63),MONTH('Model inputs'!AA63),1)="","",DATE(2027,8,1)=DATE(YEAR('Model inputs'!AA63),MONTH('Model inputs'!AA63),1)))),IF('Model inputs'!Z11="","",'Model inputs'!Z11),IF('Model inputs'!I6="","",'Model inputs'!I6))</f>
        <v>23814</v>
      </c>
      <c r="K15" s="32" t="n">
        <f aca="false">IF(IF(IF(ISERROR(DATE(2027,9,1)=DATE(YEAR('Model inputs'!AA63),MONTH('Model inputs'!AA63),1)),DATE(2027,9,1)=DATE(YEAR('Model inputs'!AA63),MONTH('Model inputs'!AA63),1),IF(DATE(YEAR('Model inputs'!AA63),MONTH('Model inputs'!AA63),1)="","",DATE(2027,9,1)=DATE(YEAR('Model inputs'!AA63),MONTH('Model inputs'!AA63),1)))="",FALSE(),IF(ISERROR(DATE(2027,9,1)=DATE(YEAR('Model inputs'!AA63),MONTH('Model inputs'!AA63),1)),DATE(2027,9,1)=DATE(YEAR('Model inputs'!AA63),MONTH('Model inputs'!AA63),1),IF(DATE(YEAR('Model inputs'!AA63),MONTH('Model inputs'!AA63),1)="","",DATE(2027,9,1)=DATE(YEAR('Model inputs'!AA63),MONTH('Model inputs'!AA63),1)))),IF('Model inputs'!Z11="","",'Model inputs'!Z11),IF('Model inputs'!J6="","",'Model inputs'!J6))</f>
        <v>25936</v>
      </c>
      <c r="L15" s="32" t="n">
        <f aca="false">IF(IF(IF(ISERROR(DATE(2027,10,1)=DATE(YEAR('Model inputs'!AA63),MONTH('Model inputs'!AA63),1)),DATE(2027,10,1)=DATE(YEAR('Model inputs'!AA63),MONTH('Model inputs'!AA63),1),IF(DATE(YEAR('Model inputs'!AA63),MONTH('Model inputs'!AA63),1)="","",DATE(2027,10,1)=DATE(YEAR('Model inputs'!AA63),MONTH('Model inputs'!AA63),1)))="",FALSE(),IF(ISERROR(DATE(2027,10,1)=DATE(YEAR('Model inputs'!AA63),MONTH('Model inputs'!AA63),1)),DATE(2027,10,1)=DATE(YEAR('Model inputs'!AA63),MONTH('Model inputs'!AA63),1),IF(DATE(YEAR('Model inputs'!AA63),MONTH('Model inputs'!AA63),1)="","",DATE(2027,10,1)=DATE(YEAR('Model inputs'!AA63),MONTH('Model inputs'!AA63),1)))),IF('Model inputs'!Z11="","",'Model inputs'!Z11),IF('Model inputs'!K6="","",'Model inputs'!K6))</f>
        <v>28196</v>
      </c>
      <c r="M15" s="32" t="n">
        <f aca="false">IF(IF(IF(ISERROR(DATE(2027,11,1)=DATE(YEAR('Model inputs'!AA63),MONTH('Model inputs'!AA63),1)),DATE(2027,11,1)=DATE(YEAR('Model inputs'!AA63),MONTH('Model inputs'!AA63),1),IF(DATE(YEAR('Model inputs'!AA63),MONTH('Model inputs'!AA63),1)="","",DATE(2027,11,1)=DATE(YEAR('Model inputs'!AA63),MONTH('Model inputs'!AA63),1)))="",FALSE(),IF(ISERROR(DATE(2027,11,1)=DATE(YEAR('Model inputs'!AA63),MONTH('Model inputs'!AA63),1)),DATE(2027,11,1)=DATE(YEAR('Model inputs'!AA63),MONTH('Model inputs'!AA63),1),IF(DATE(YEAR('Model inputs'!AA63),MONTH('Model inputs'!AA63),1)="","",DATE(2027,11,1)=DATE(YEAR('Model inputs'!AA63),MONTH('Model inputs'!AA63),1)))),IF('Model inputs'!Z11="","",'Model inputs'!Z11),IF('Model inputs'!L6="","",'Model inputs'!L6))</f>
        <v>30456</v>
      </c>
      <c r="N15" s="32" t="n">
        <f aca="false">IF(IF(IF(ISERROR(DATE(2027,12,1)=DATE(YEAR('Model inputs'!AA63),MONTH('Model inputs'!AA63),1)),DATE(2027,12,1)=DATE(YEAR('Model inputs'!AA63),MONTH('Model inputs'!AA63),1),IF(DATE(YEAR('Model inputs'!AA63),MONTH('Model inputs'!AA63),1)="","",DATE(2027,12,1)=DATE(YEAR('Model inputs'!AA63),MONTH('Model inputs'!AA63),1)))="",FALSE(),IF(ISERROR(DATE(2027,12,1)=DATE(YEAR('Model inputs'!AA63),MONTH('Model inputs'!AA63),1)),DATE(2027,12,1)=DATE(YEAR('Model inputs'!AA63),MONTH('Model inputs'!AA63),1),IF(DATE(YEAR('Model inputs'!AA63),MONTH('Model inputs'!AA63),1)="","",DATE(2027,12,1)=DATE(YEAR('Model inputs'!AA63),MONTH('Model inputs'!AA63),1)))),IF('Model inputs'!Z11="","",'Model inputs'!Z11),IF('Model inputs'!M6="","",'Model inputs'!M6))</f>
        <v>32716</v>
      </c>
      <c r="W15" s="32" t="n">
        <v>0</v>
      </c>
      <c r="X15" s="32" t="n">
        <f aca="false">IF(IF(IF(ISERROR(DATE(2026,10,1)=DATE(YEAR('Model inputs'!AA63),MONTH('Model inputs'!AA63),1)),DATE(2026,10,1)=DATE(YEAR('Model inputs'!AA63),MONTH('Model inputs'!AA63),1),IF(DATE(YEAR('Model inputs'!AA63),MONTH('Model inputs'!AA63),1)="","",DATE(2026,10,1)=DATE(YEAR('Model inputs'!AA63),MONTH('Model inputs'!AA63),1)))="",FALSE(),IF(ISERROR(DATE(2026,10,1)=DATE(YEAR('Model inputs'!AA63),MONTH('Model inputs'!AA63),1)),DATE(2026,10,1)=DATE(YEAR('Model inputs'!AA63),MONTH('Model inputs'!AA63),1),IF(DATE(YEAR('Model inputs'!AA63),MONTH('Model inputs'!AA63),1)="","",DATE(2026,10,1)=DATE(YEAR('Model inputs'!AA63),MONTH('Model inputs'!AA63),1)))),IF('Model inputs'!Z11="","",'Model inputs'!Z11),IF('Model inputs'!W7="","",'Model inputs'!W7))</f>
        <v>0</v>
      </c>
      <c r="Y15" s="32" t="n">
        <f aca="false">IF(IF(IF(ISERROR(DATE(2026,11,1)=DATE(YEAR('Model inputs'!AA63),MONTH('Model inputs'!AA63),1)),DATE(2026,11,1)=DATE(YEAR('Model inputs'!AA63),MONTH('Model inputs'!AA63),1),IF(DATE(YEAR('Model inputs'!AA63),MONTH('Model inputs'!AA63),1)="","",DATE(2026,11,1)=DATE(YEAR('Model inputs'!AA63),MONTH('Model inputs'!AA63),1)))="",FALSE(),IF(ISERROR(DATE(2026,11,1)=DATE(YEAR('Model inputs'!AA63),MONTH('Model inputs'!AA63),1)),DATE(2026,11,1)=DATE(YEAR('Model inputs'!AA63),MONTH('Model inputs'!AA63),1),IF(DATE(YEAR('Model inputs'!AA63),MONTH('Model inputs'!AA63),1)="","",DATE(2026,11,1)=DATE(YEAR('Model inputs'!AA63),MONTH('Model inputs'!AA63),1)))),IF('Model inputs'!Z11="","",'Model inputs'!Z11),IF('Model inputs'!X7="","",'Model inputs'!X7))</f>
        <v>-500</v>
      </c>
    </row>
    <row r="16" customFormat="false" ht="18" hidden="false" customHeight="false" outlineLevel="0" collapsed="false">
      <c r="A16" s="41" t="s">
        <v>194</v>
      </c>
      <c r="B16" s="21" t="n">
        <v>0</v>
      </c>
      <c r="C16" s="21" t="n">
        <f aca="false">1</f>
        <v>1</v>
      </c>
      <c r="D16" s="21" t="n">
        <f aca="false">4</f>
        <v>4</v>
      </c>
      <c r="E16" s="21" t="n">
        <f aca="false">9</f>
        <v>9</v>
      </c>
      <c r="F16" s="21" t="n">
        <f aca="false">14</f>
        <v>14</v>
      </c>
      <c r="G16" s="21" t="n">
        <f aca="false">20</f>
        <v>20</v>
      </c>
      <c r="H16" s="21" t="n">
        <f aca="false">26</f>
        <v>26</v>
      </c>
      <c r="I16" s="21" t="n">
        <f aca="false">32</f>
        <v>32</v>
      </c>
      <c r="J16" s="21" t="n">
        <f aca="false">38</f>
        <v>38</v>
      </c>
      <c r="K16" s="21" t="n">
        <f aca="false">40</f>
        <v>40</v>
      </c>
      <c r="L16" s="21" t="n">
        <f aca="false">40</f>
        <v>40</v>
      </c>
      <c r="M16" s="21" t="n">
        <f aca="false">40</f>
        <v>40</v>
      </c>
      <c r="N16" s="21" t="n">
        <f aca="false">40</f>
        <v>40</v>
      </c>
      <c r="O16" s="21" t="n">
        <v>0</v>
      </c>
      <c r="P16" s="21" t="n">
        <v>0</v>
      </c>
      <c r="Q16" s="21" t="n">
        <v>0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  <c r="W16" s="21" t="n">
        <v>0</v>
      </c>
      <c r="X16" s="21" t="n">
        <v>0</v>
      </c>
      <c r="Y16" s="21" t="n">
        <v>0</v>
      </c>
    </row>
    <row r="17" customFormat="false" ht="18" hidden="false" customHeight="false" outlineLevel="0" collapsed="false">
      <c r="A17" s="41" t="s">
        <v>195</v>
      </c>
      <c r="B17" s="21" t="n">
        <v>0</v>
      </c>
      <c r="C17" s="21" t="n">
        <f aca="false">1</f>
        <v>1</v>
      </c>
      <c r="D17" s="21" t="n">
        <f aca="false">4</f>
        <v>4</v>
      </c>
      <c r="E17" s="21" t="n">
        <f aca="false">9</f>
        <v>9</v>
      </c>
      <c r="F17" s="21" t="n">
        <f aca="false">14</f>
        <v>14</v>
      </c>
      <c r="G17" s="21" t="n">
        <f aca="false">20</f>
        <v>20</v>
      </c>
      <c r="H17" s="21" t="n">
        <f aca="false">26</f>
        <v>26</v>
      </c>
      <c r="I17" s="21" t="n">
        <f aca="false">32</f>
        <v>32</v>
      </c>
      <c r="J17" s="21" t="n">
        <f aca="false">38</f>
        <v>38</v>
      </c>
      <c r="K17" s="21" t="n">
        <f aca="false">40</f>
        <v>40</v>
      </c>
      <c r="L17" s="21" t="n">
        <f aca="false">40</f>
        <v>40</v>
      </c>
      <c r="M17" s="21" t="n">
        <f aca="false">40</f>
        <v>40</v>
      </c>
      <c r="N17" s="21" t="n">
        <f aca="false">40</f>
        <v>40</v>
      </c>
      <c r="O17" s="21" t="n">
        <v>0</v>
      </c>
      <c r="P17" s="21" t="n">
        <v>0</v>
      </c>
      <c r="Q17" s="21" t="n">
        <v>0</v>
      </c>
      <c r="R17" s="21" t="n">
        <v>0</v>
      </c>
      <c r="S17" s="21" t="n">
        <v>0</v>
      </c>
      <c r="T17" s="21" t="n">
        <v>0</v>
      </c>
      <c r="U17" s="21" t="n">
        <v>0</v>
      </c>
      <c r="V17" s="21" t="n">
        <v>0</v>
      </c>
      <c r="W17" s="21" t="n">
        <v>0</v>
      </c>
      <c r="X17" s="21" t="n">
        <v>0</v>
      </c>
      <c r="Y17" s="21" t="n">
        <v>0</v>
      </c>
    </row>
    <row r="18" customFormat="false" ht="18" hidden="false" customHeight="false" outlineLevel="0" collapsed="false">
      <c r="A18" s="41" t="s">
        <v>196</v>
      </c>
      <c r="B18" s="21" t="n">
        <v>0</v>
      </c>
      <c r="C18" s="21" t="n">
        <f aca="false">1</f>
        <v>1</v>
      </c>
      <c r="D18" s="21" t="n">
        <f aca="false">4</f>
        <v>4</v>
      </c>
      <c r="E18" s="21" t="n">
        <f aca="false">9</f>
        <v>9</v>
      </c>
      <c r="F18" s="21" t="n">
        <f aca="false">14</f>
        <v>14</v>
      </c>
      <c r="G18" s="21" t="n">
        <f aca="false">20</f>
        <v>20</v>
      </c>
      <c r="H18" s="21" t="n">
        <f aca="false">26</f>
        <v>26</v>
      </c>
      <c r="I18" s="21" t="n">
        <f aca="false">32</f>
        <v>32</v>
      </c>
      <c r="J18" s="21" t="n">
        <f aca="false">38</f>
        <v>38</v>
      </c>
      <c r="K18" s="21" t="n">
        <f aca="false">40</f>
        <v>40</v>
      </c>
      <c r="L18" s="21" t="n">
        <f aca="false">40</f>
        <v>40</v>
      </c>
      <c r="M18" s="21" t="n">
        <f aca="false">40</f>
        <v>40</v>
      </c>
      <c r="N18" s="21" t="n">
        <f aca="false">40</f>
        <v>40</v>
      </c>
      <c r="O18" s="21" t="n">
        <v>0</v>
      </c>
      <c r="P18" s="21" t="n">
        <v>0</v>
      </c>
      <c r="Q18" s="21" t="n">
        <v>0</v>
      </c>
      <c r="R18" s="21" t="n">
        <v>0</v>
      </c>
      <c r="S18" s="21" t="n">
        <v>0</v>
      </c>
      <c r="T18" s="21" t="n">
        <v>0</v>
      </c>
      <c r="U18" s="21" t="n">
        <v>0</v>
      </c>
      <c r="V18" s="21" t="n">
        <v>0</v>
      </c>
      <c r="W18" s="21" t="n">
        <v>0</v>
      </c>
      <c r="X18" s="21" t="n">
        <v>0</v>
      </c>
      <c r="Y18" s="21" t="n">
        <v>0</v>
      </c>
    </row>
    <row r="19" customFormat="false" ht="18" hidden="false" customHeight="false" outlineLevel="0" collapsed="false">
      <c r="A19" s="41" t="s">
        <v>197</v>
      </c>
      <c r="B19" s="21" t="n">
        <v>0</v>
      </c>
      <c r="C19" s="21" t="n">
        <f aca="false">1</f>
        <v>1</v>
      </c>
      <c r="D19" s="21" t="n">
        <f aca="false">4</f>
        <v>4</v>
      </c>
      <c r="E19" s="21" t="n">
        <f aca="false">9</f>
        <v>9</v>
      </c>
      <c r="F19" s="21" t="n">
        <f aca="false">14</f>
        <v>14</v>
      </c>
      <c r="G19" s="21" t="n">
        <f aca="false">20</f>
        <v>20</v>
      </c>
      <c r="H19" s="21" t="n">
        <f aca="false">26</f>
        <v>26</v>
      </c>
      <c r="I19" s="21" t="n">
        <f aca="false">32</f>
        <v>32</v>
      </c>
      <c r="J19" s="21" t="n">
        <f aca="false">38</f>
        <v>38</v>
      </c>
      <c r="K19" s="21" t="n">
        <f aca="false">40</f>
        <v>40</v>
      </c>
      <c r="L19" s="21" t="n">
        <f aca="false">40</f>
        <v>40</v>
      </c>
      <c r="M19" s="21" t="n">
        <f aca="false">40</f>
        <v>40</v>
      </c>
      <c r="N19" s="21" t="n">
        <f aca="false">40</f>
        <v>40</v>
      </c>
      <c r="O19" s="21" t="n">
        <v>0</v>
      </c>
      <c r="P19" s="21" t="n">
        <v>0</v>
      </c>
      <c r="Q19" s="21" t="n">
        <v>0</v>
      </c>
      <c r="R19" s="21" t="n">
        <v>0</v>
      </c>
      <c r="S19" s="21" t="n">
        <v>0</v>
      </c>
      <c r="T19" s="21" t="n">
        <v>0</v>
      </c>
      <c r="U19" s="21" t="n">
        <v>0</v>
      </c>
      <c r="V19" s="21" t="n">
        <v>0</v>
      </c>
      <c r="W19" s="21" t="n">
        <v>0</v>
      </c>
      <c r="X19" s="21" t="n">
        <v>0</v>
      </c>
      <c r="Y19" s="21" t="n">
        <v>0</v>
      </c>
    </row>
    <row r="20" customFormat="false" ht="18" hidden="false" customHeight="false" outlineLevel="0" collapsed="false">
      <c r="A20" s="41" t="s">
        <v>198</v>
      </c>
      <c r="B20" s="21" t="n">
        <v>0</v>
      </c>
      <c r="C20" s="21" t="n">
        <f aca="false">1</f>
        <v>1</v>
      </c>
      <c r="D20" s="21" t="n">
        <f aca="false">4</f>
        <v>4</v>
      </c>
      <c r="E20" s="21" t="n">
        <f aca="false">9</f>
        <v>9</v>
      </c>
      <c r="F20" s="21" t="n">
        <f aca="false">14</f>
        <v>14</v>
      </c>
      <c r="G20" s="21" t="n">
        <f aca="false">20</f>
        <v>20</v>
      </c>
      <c r="H20" s="21" t="n">
        <f aca="false">26</f>
        <v>26</v>
      </c>
      <c r="I20" s="21" t="n">
        <f aca="false">32</f>
        <v>32</v>
      </c>
      <c r="J20" s="21" t="n">
        <f aca="false">38</f>
        <v>38</v>
      </c>
      <c r="K20" s="21" t="n">
        <f aca="false">40</f>
        <v>40</v>
      </c>
      <c r="L20" s="21" t="n">
        <f aca="false">40</f>
        <v>40</v>
      </c>
      <c r="M20" s="21" t="n">
        <f aca="false">40</f>
        <v>40</v>
      </c>
      <c r="N20" s="21" t="n">
        <f aca="false">40</f>
        <v>40</v>
      </c>
      <c r="O20" s="21" t="n">
        <v>0</v>
      </c>
      <c r="P20" s="21" t="n">
        <v>0</v>
      </c>
      <c r="Q20" s="21" t="n">
        <v>0</v>
      </c>
      <c r="R20" s="21" t="n">
        <v>0</v>
      </c>
      <c r="S20" s="21" t="n">
        <v>0</v>
      </c>
      <c r="T20" s="21" t="n">
        <v>0</v>
      </c>
      <c r="U20" s="21" t="n">
        <v>0</v>
      </c>
      <c r="V20" s="21" t="n">
        <v>0</v>
      </c>
      <c r="W20" s="21" t="n">
        <v>0</v>
      </c>
      <c r="X20" s="21" t="n">
        <v>0</v>
      </c>
      <c r="Y20" s="21" t="n">
        <v>0</v>
      </c>
    </row>
    <row r="21" customFormat="false" ht="18" hidden="false" customHeight="false" outlineLevel="0" collapsed="false">
      <c r="A21" s="41" t="s">
        <v>199</v>
      </c>
      <c r="B21" s="21" t="n">
        <v>0</v>
      </c>
      <c r="C21" s="21" t="n">
        <f aca="false">1</f>
        <v>1</v>
      </c>
      <c r="D21" s="21" t="n">
        <f aca="false">4</f>
        <v>4</v>
      </c>
      <c r="E21" s="21" t="n">
        <f aca="false">9</f>
        <v>9</v>
      </c>
      <c r="F21" s="21" t="n">
        <f aca="false">14</f>
        <v>14</v>
      </c>
      <c r="G21" s="21" t="n">
        <f aca="false">20</f>
        <v>20</v>
      </c>
      <c r="H21" s="21" t="n">
        <f aca="false">26</f>
        <v>26</v>
      </c>
      <c r="I21" s="21" t="n">
        <f aca="false">32</f>
        <v>32</v>
      </c>
      <c r="J21" s="21" t="n">
        <f aca="false">38</f>
        <v>38</v>
      </c>
      <c r="K21" s="21" t="n">
        <f aca="false">40</f>
        <v>40</v>
      </c>
      <c r="L21" s="21" t="n">
        <f aca="false">40</f>
        <v>40</v>
      </c>
      <c r="M21" s="21" t="n">
        <f aca="false">40</f>
        <v>40</v>
      </c>
      <c r="N21" s="21" t="n">
        <f aca="false">40</f>
        <v>40</v>
      </c>
      <c r="O21" s="21" t="n">
        <v>0</v>
      </c>
      <c r="P21" s="21" t="n">
        <v>0</v>
      </c>
      <c r="Q21" s="21" t="n">
        <v>0</v>
      </c>
      <c r="R21" s="21" t="n">
        <v>0</v>
      </c>
      <c r="S21" s="21" t="n">
        <v>0</v>
      </c>
      <c r="T21" s="21" t="n">
        <v>0</v>
      </c>
      <c r="U21" s="21" t="n">
        <v>0</v>
      </c>
      <c r="V21" s="21" t="n">
        <v>0</v>
      </c>
      <c r="W21" s="21" t="n">
        <v>0</v>
      </c>
      <c r="X21" s="21" t="n">
        <v>0</v>
      </c>
      <c r="Y21" s="21" t="n">
        <v>0</v>
      </c>
    </row>
    <row r="22" customFormat="false" ht="18" hidden="false" customHeight="false" outlineLevel="0" collapsed="false">
      <c r="A22" s="41" t="s">
        <v>200</v>
      </c>
      <c r="B22" s="21" t="n">
        <v>0</v>
      </c>
      <c r="C22" s="21" t="n">
        <f aca="false">1</f>
        <v>1</v>
      </c>
      <c r="D22" s="21" t="n">
        <f aca="false">4</f>
        <v>4</v>
      </c>
      <c r="E22" s="21" t="n">
        <f aca="false">9</f>
        <v>9</v>
      </c>
      <c r="F22" s="21" t="n">
        <f aca="false">14</f>
        <v>14</v>
      </c>
      <c r="G22" s="21" t="n">
        <f aca="false">20</f>
        <v>20</v>
      </c>
      <c r="H22" s="21" t="n">
        <f aca="false">26</f>
        <v>26</v>
      </c>
      <c r="I22" s="21" t="n">
        <f aca="false">32</f>
        <v>32</v>
      </c>
      <c r="J22" s="21" t="n">
        <f aca="false">38</f>
        <v>38</v>
      </c>
      <c r="K22" s="21" t="n">
        <f aca="false">40</f>
        <v>40</v>
      </c>
      <c r="L22" s="21" t="n">
        <f aca="false">40</f>
        <v>40</v>
      </c>
      <c r="M22" s="21" t="n">
        <f aca="false">40</f>
        <v>40</v>
      </c>
      <c r="N22" s="21" t="n">
        <f aca="false">40</f>
        <v>40</v>
      </c>
      <c r="O22" s="21" t="n">
        <v>0</v>
      </c>
      <c r="P22" s="21" t="n">
        <v>0</v>
      </c>
      <c r="Q22" s="21" t="n">
        <v>0</v>
      </c>
      <c r="R22" s="21" t="n">
        <v>0</v>
      </c>
      <c r="S22" s="21" t="n">
        <v>0</v>
      </c>
      <c r="T22" s="21" t="n">
        <v>0</v>
      </c>
      <c r="U22" s="21" t="n">
        <v>0</v>
      </c>
      <c r="V22" s="21" t="n">
        <v>0</v>
      </c>
      <c r="W22" s="21" t="n">
        <v>0</v>
      </c>
      <c r="X22" s="21" t="n">
        <v>0</v>
      </c>
      <c r="Y22" s="21" t="n">
        <v>0</v>
      </c>
    </row>
    <row r="23" customFormat="false" ht="18" hidden="false" customHeight="false" outlineLevel="0" collapsed="false">
      <c r="A23" s="41" t="s">
        <v>201</v>
      </c>
      <c r="B23" s="21" t="n">
        <v>0</v>
      </c>
      <c r="C23" s="21" t="n">
        <f aca="false">1</f>
        <v>1</v>
      </c>
      <c r="D23" s="21" t="n">
        <f aca="false">4</f>
        <v>4</v>
      </c>
      <c r="E23" s="21" t="n">
        <f aca="false">9</f>
        <v>9</v>
      </c>
      <c r="F23" s="21" t="n">
        <f aca="false">14</f>
        <v>14</v>
      </c>
      <c r="G23" s="21" t="n">
        <f aca="false">20</f>
        <v>20</v>
      </c>
      <c r="H23" s="21" t="n">
        <f aca="false">26</f>
        <v>26</v>
      </c>
      <c r="I23" s="21" t="n">
        <f aca="false">32</f>
        <v>32</v>
      </c>
      <c r="J23" s="21" t="n">
        <f aca="false">38</f>
        <v>38</v>
      </c>
      <c r="K23" s="21" t="n">
        <f aca="false">40</f>
        <v>40</v>
      </c>
      <c r="L23" s="21" t="n">
        <f aca="false">40</f>
        <v>40</v>
      </c>
      <c r="M23" s="21" t="n">
        <f aca="false">40</f>
        <v>40</v>
      </c>
      <c r="N23" s="21" t="n">
        <f aca="false">40</f>
        <v>40</v>
      </c>
      <c r="O23" s="21" t="n">
        <v>0</v>
      </c>
      <c r="P23" s="21" t="n">
        <v>0</v>
      </c>
      <c r="Q23" s="21" t="n">
        <v>0</v>
      </c>
      <c r="R23" s="21" t="n">
        <v>0</v>
      </c>
      <c r="S23" s="21" t="n">
        <v>0</v>
      </c>
      <c r="T23" s="21" t="n">
        <v>0</v>
      </c>
      <c r="U23" s="21" t="n">
        <v>0</v>
      </c>
      <c r="V23" s="21" t="n">
        <v>0</v>
      </c>
      <c r="W23" s="21" t="n">
        <v>0</v>
      </c>
      <c r="X23" s="21" t="n">
        <v>0</v>
      </c>
      <c r="Y23" s="21" t="n">
        <v>0</v>
      </c>
    </row>
    <row r="24" customFormat="false" ht="18" hidden="false" customHeight="false" outlineLevel="0" collapsed="false">
      <c r="A24" s="41" t="s">
        <v>202</v>
      </c>
      <c r="B24" s="21" t="n">
        <v>0</v>
      </c>
      <c r="C24" s="21" t="n">
        <f aca="false">1</f>
        <v>1</v>
      </c>
      <c r="D24" s="21" t="n">
        <f aca="false">4</f>
        <v>4</v>
      </c>
      <c r="E24" s="21" t="n">
        <f aca="false">9</f>
        <v>9</v>
      </c>
      <c r="F24" s="21" t="n">
        <f aca="false">14</f>
        <v>14</v>
      </c>
      <c r="G24" s="21" t="n">
        <f aca="false">20</f>
        <v>20</v>
      </c>
      <c r="H24" s="21" t="n">
        <f aca="false">26</f>
        <v>26</v>
      </c>
      <c r="I24" s="21" t="n">
        <f aca="false">32</f>
        <v>32</v>
      </c>
      <c r="J24" s="21" t="n">
        <f aca="false">38</f>
        <v>38</v>
      </c>
      <c r="K24" s="21" t="n">
        <f aca="false">40</f>
        <v>40</v>
      </c>
      <c r="L24" s="21" t="n">
        <f aca="false">40</f>
        <v>40</v>
      </c>
      <c r="M24" s="21" t="n">
        <f aca="false">40</f>
        <v>40</v>
      </c>
      <c r="N24" s="21" t="n">
        <f aca="false">40</f>
        <v>40</v>
      </c>
      <c r="O24" s="21" t="n">
        <v>0</v>
      </c>
      <c r="P24" s="21" t="n">
        <v>0</v>
      </c>
      <c r="Q24" s="21" t="n">
        <v>0</v>
      </c>
      <c r="R24" s="21" t="n">
        <v>0</v>
      </c>
      <c r="S24" s="21" t="n">
        <v>0</v>
      </c>
      <c r="T24" s="21" t="n">
        <v>0</v>
      </c>
      <c r="U24" s="21" t="n">
        <v>0</v>
      </c>
      <c r="V24" s="21" t="n">
        <v>0</v>
      </c>
      <c r="W24" s="21" t="n">
        <v>0</v>
      </c>
      <c r="X24" s="21" t="n">
        <v>0</v>
      </c>
      <c r="Y24" s="21" t="n">
        <v>0</v>
      </c>
    </row>
    <row r="25" customFormat="false" ht="18" hidden="false" customHeight="false" outlineLevel="0" collapsed="false">
      <c r="A25" s="41" t="s">
        <v>203</v>
      </c>
      <c r="Z25" s="21" t="n">
        <f aca="false">3</f>
        <v>3</v>
      </c>
    </row>
    <row r="26" customFormat="false" ht="18" hidden="false" customHeight="false" outlineLevel="0" collapsed="false">
      <c r="A26" s="41" t="s">
        <v>204</v>
      </c>
      <c r="AA26" s="21" t="n">
        <f aca="false">3</f>
        <v>3</v>
      </c>
    </row>
    <row r="27" customFormat="false" ht="18" hidden="false" customHeight="false" outlineLevel="0" collapsed="false">
      <c r="A27" s="41" t="s">
        <v>205</v>
      </c>
      <c r="Z27" s="21" t="n">
        <f aca="false">3</f>
        <v>3</v>
      </c>
    </row>
    <row r="28" customFormat="false" ht="18" hidden="false" customHeight="false" outlineLevel="0" collapsed="false">
      <c r="A28" s="41" t="s">
        <v>206</v>
      </c>
      <c r="Z28" s="21" t="n">
        <f aca="false">3</f>
        <v>3</v>
      </c>
    </row>
    <row r="29" customFormat="false" ht="18" hidden="false" customHeight="false" outlineLevel="0" collapsed="false">
      <c r="A29" s="41" t="s">
        <v>207</v>
      </c>
      <c r="Z29" s="21" t="n">
        <f aca="false">3</f>
        <v>3</v>
      </c>
    </row>
    <row r="30" customFormat="false" ht="18" hidden="false" customHeight="false" outlineLevel="0" collapsed="false">
      <c r="A30" s="41" t="s">
        <v>208</v>
      </c>
      <c r="Z30" s="21" t="n">
        <f aca="false">3</f>
        <v>3</v>
      </c>
    </row>
    <row r="31" customFormat="false" ht="18" hidden="false" customHeight="false" outlineLevel="0" collapsed="false">
      <c r="A31" s="41" t="s">
        <v>209</v>
      </c>
      <c r="B31" s="32" t="n">
        <f aca="false">'Model inputs'!B51+'Model inputs'!B62</f>
        <v>500</v>
      </c>
      <c r="C31" s="32" t="n">
        <f aca="false">'Model inputs'!C51+'Model inputs'!C62</f>
        <v>530</v>
      </c>
      <c r="D31" s="32" t="n">
        <f aca="false">'Model inputs'!D51+'Model inputs'!D62</f>
        <v>620</v>
      </c>
      <c r="E31" s="32" t="n">
        <f aca="false">'Model inputs'!E51+'Model inputs'!E62</f>
        <v>770</v>
      </c>
      <c r="F31" s="32" t="n">
        <f aca="false">'Model inputs'!F51+'Model inputs'!F62</f>
        <v>920</v>
      </c>
      <c r="G31" s="32" t="n">
        <f aca="false">'Model inputs'!G51+'Model inputs'!G62</f>
        <v>1100</v>
      </c>
      <c r="H31" s="32" t="n">
        <f aca="false">'Model inputs'!H51+'Model inputs'!H62</f>
        <v>1280</v>
      </c>
      <c r="I31" s="32" t="n">
        <f aca="false">'Model inputs'!I51+'Model inputs'!I62</f>
        <v>1460</v>
      </c>
      <c r="J31" s="32" t="n">
        <f aca="false">'Model inputs'!J51+'Model inputs'!J62</f>
        <v>1640</v>
      </c>
      <c r="K31" s="32" t="n">
        <f aca="false">'Model inputs'!K51+'Model inputs'!K62</f>
        <v>1700</v>
      </c>
      <c r="L31" s="32" t="n">
        <f aca="false">'Model inputs'!L51+'Model inputs'!L62</f>
        <v>1700</v>
      </c>
      <c r="M31" s="32" t="n">
        <f aca="false">'Model inputs'!M51+'Model inputs'!M62</f>
        <v>1700</v>
      </c>
      <c r="N31" s="32" t="n">
        <f aca="false">'Model inputs'!N51+'Model inputs'!N62</f>
        <v>1700</v>
      </c>
      <c r="O31" s="32" t="n">
        <v>0</v>
      </c>
      <c r="P31" s="32" t="n">
        <v>0</v>
      </c>
      <c r="Q31" s="32" t="n">
        <v>0</v>
      </c>
      <c r="R31" s="32" t="n">
        <v>0</v>
      </c>
      <c r="S31" s="32" t="n">
        <v>0</v>
      </c>
      <c r="T31" s="32" t="n">
        <v>0</v>
      </c>
      <c r="U31" s="32" t="n">
        <v>0</v>
      </c>
      <c r="V31" s="32" t="n">
        <v>0</v>
      </c>
      <c r="W31" s="32" t="n">
        <v>0</v>
      </c>
      <c r="X31" s="32" t="n">
        <f aca="false">'Model inputs'!X51+'Model inputs'!X62</f>
        <v>500</v>
      </c>
      <c r="Y31" s="32" t="n">
        <f aca="false">'Model inputs'!Y51+'Model inputs'!Y62</f>
        <v>500</v>
      </c>
    </row>
    <row r="32" customFormat="false" ht="18" hidden="false" customHeight="false" outlineLevel="0" collapsed="false">
      <c r="A32" s="41" t="s">
        <v>210</v>
      </c>
      <c r="B32" s="32" t="n">
        <f aca="false">'Model inputs'!B53+'Model inputs'!B103</f>
        <v>400</v>
      </c>
      <c r="C32" s="32" t="n">
        <f aca="false">'Model inputs'!C53+'Model inputs'!C103</f>
        <v>430</v>
      </c>
      <c r="D32" s="32" t="n">
        <f aca="false">'Model inputs'!D53+'Model inputs'!D103</f>
        <v>520</v>
      </c>
      <c r="E32" s="32" t="n">
        <f aca="false">'Model inputs'!E53+'Model inputs'!E103</f>
        <v>670</v>
      </c>
      <c r="F32" s="32" t="n">
        <f aca="false">'Model inputs'!F53+'Model inputs'!F103</f>
        <v>820</v>
      </c>
      <c r="G32" s="32" t="n">
        <f aca="false">'Model inputs'!G53+'Model inputs'!G103</f>
        <v>1000</v>
      </c>
      <c r="H32" s="32" t="n">
        <f aca="false">'Model inputs'!H53+'Model inputs'!H103</f>
        <v>1180</v>
      </c>
      <c r="I32" s="32" t="n">
        <f aca="false">'Model inputs'!I53+'Model inputs'!I103</f>
        <v>1360</v>
      </c>
      <c r="J32" s="32" t="n">
        <f aca="false">'Model inputs'!J53+'Model inputs'!J103</f>
        <v>1540</v>
      </c>
      <c r="K32" s="32" t="n">
        <f aca="false">'Model inputs'!K53+'Model inputs'!K103</f>
        <v>1600</v>
      </c>
      <c r="L32" s="32" t="n">
        <f aca="false">'Model inputs'!L53+'Model inputs'!L103</f>
        <v>1600</v>
      </c>
      <c r="M32" s="32" t="n">
        <f aca="false">'Model inputs'!M53+'Model inputs'!M103</f>
        <v>1600</v>
      </c>
      <c r="N32" s="32" t="n">
        <f aca="false">'Model inputs'!N53+'Model inputs'!N103</f>
        <v>1600</v>
      </c>
      <c r="O32" s="32" t="n">
        <v>0</v>
      </c>
      <c r="P32" s="32" t="n">
        <v>0</v>
      </c>
      <c r="Q32" s="32" t="n">
        <v>0</v>
      </c>
      <c r="R32" s="32" t="n">
        <v>0</v>
      </c>
      <c r="S32" s="32" t="n">
        <v>0</v>
      </c>
      <c r="T32" s="32" t="n">
        <v>0</v>
      </c>
      <c r="U32" s="32" t="n">
        <v>0</v>
      </c>
      <c r="V32" s="32" t="n">
        <v>0</v>
      </c>
      <c r="W32" s="32" t="n">
        <v>0</v>
      </c>
      <c r="X32" s="32" t="n">
        <f aca="false">'Model inputs'!X53+'Model inputs'!X103</f>
        <v>400</v>
      </c>
      <c r="Y32" s="32" t="n">
        <f aca="false">'Model inputs'!Y53+'Model inputs'!Y103</f>
        <v>400</v>
      </c>
    </row>
    <row r="33" customFormat="false" ht="18" hidden="false" customHeight="false" outlineLevel="0" collapsed="false">
      <c r="A33" s="41" t="s">
        <v>211</v>
      </c>
      <c r="B33" s="32" t="n">
        <f aca="false">'Model inputs'!B55+'Model inputs'!B104</f>
        <v>300</v>
      </c>
      <c r="C33" s="32" t="n">
        <f aca="false">'Model inputs'!C55+'Model inputs'!C104</f>
        <v>330</v>
      </c>
      <c r="D33" s="32" t="n">
        <f aca="false">'Model inputs'!D55+'Model inputs'!D104</f>
        <v>420</v>
      </c>
      <c r="E33" s="32" t="n">
        <f aca="false">'Model inputs'!E55+'Model inputs'!E104</f>
        <v>570</v>
      </c>
      <c r="F33" s="32" t="n">
        <f aca="false">'Model inputs'!F55+'Model inputs'!F104</f>
        <v>720</v>
      </c>
      <c r="G33" s="32" t="n">
        <f aca="false">'Model inputs'!G55+'Model inputs'!G104</f>
        <v>900</v>
      </c>
      <c r="H33" s="32" t="n">
        <f aca="false">'Model inputs'!H55+'Model inputs'!H104</f>
        <v>1080</v>
      </c>
      <c r="I33" s="32" t="n">
        <f aca="false">'Model inputs'!I55+'Model inputs'!I104</f>
        <v>1260</v>
      </c>
      <c r="J33" s="32" t="n">
        <f aca="false">'Model inputs'!J55+'Model inputs'!J104</f>
        <v>1440</v>
      </c>
      <c r="K33" s="32" t="n">
        <f aca="false">'Model inputs'!K55+'Model inputs'!K104</f>
        <v>1500</v>
      </c>
      <c r="L33" s="32" t="n">
        <f aca="false">'Model inputs'!L55+'Model inputs'!L104</f>
        <v>1500</v>
      </c>
      <c r="M33" s="32" t="n">
        <f aca="false">'Model inputs'!M55+'Model inputs'!M104</f>
        <v>1500</v>
      </c>
      <c r="N33" s="32" t="n">
        <f aca="false">'Model inputs'!N55+'Model inputs'!N104</f>
        <v>1500</v>
      </c>
      <c r="O33" s="32" t="n">
        <v>0</v>
      </c>
      <c r="P33" s="32" t="n">
        <v>0</v>
      </c>
      <c r="Q33" s="32" t="n">
        <v>0</v>
      </c>
      <c r="R33" s="32" t="n">
        <v>0</v>
      </c>
      <c r="S33" s="32" t="n">
        <v>0</v>
      </c>
      <c r="T33" s="32" t="n">
        <v>0</v>
      </c>
      <c r="U33" s="32" t="n">
        <v>0</v>
      </c>
      <c r="V33" s="32" t="n">
        <v>0</v>
      </c>
      <c r="W33" s="32" t="n">
        <v>0</v>
      </c>
      <c r="X33" s="32" t="n">
        <f aca="false">'Model inputs'!X55+'Model inputs'!X104</f>
        <v>300</v>
      </c>
      <c r="Y33" s="32" t="n">
        <f aca="false">'Model inputs'!Y55+'Model inputs'!Y104</f>
        <v>300</v>
      </c>
    </row>
    <row r="34" customFormat="false" ht="18" hidden="false" customHeight="false" outlineLevel="0" collapsed="false">
      <c r="A34" s="41" t="s">
        <v>212</v>
      </c>
      <c r="B34" s="32" t="n">
        <f aca="false">'Model inputs'!B102+'Model inputs'!B105</f>
        <v>500</v>
      </c>
      <c r="C34" s="32" t="n">
        <f aca="false">'Model inputs'!C102+'Model inputs'!C105</f>
        <v>530</v>
      </c>
      <c r="D34" s="32" t="n">
        <f aca="false">'Model inputs'!D102+'Model inputs'!D105</f>
        <v>620</v>
      </c>
      <c r="E34" s="32" t="n">
        <f aca="false">'Model inputs'!E102+'Model inputs'!E105</f>
        <v>770</v>
      </c>
      <c r="F34" s="32" t="n">
        <f aca="false">'Model inputs'!F102+'Model inputs'!F105</f>
        <v>920</v>
      </c>
      <c r="G34" s="32" t="n">
        <f aca="false">'Model inputs'!G102+'Model inputs'!G105</f>
        <v>1100</v>
      </c>
      <c r="H34" s="32" t="n">
        <f aca="false">'Model inputs'!H102+'Model inputs'!H105</f>
        <v>1280</v>
      </c>
      <c r="I34" s="32" t="n">
        <f aca="false">'Model inputs'!I102+'Model inputs'!I105</f>
        <v>1460</v>
      </c>
      <c r="J34" s="32" t="n">
        <f aca="false">'Model inputs'!J102+'Model inputs'!J105</f>
        <v>1640</v>
      </c>
      <c r="K34" s="32" t="n">
        <f aca="false">'Model inputs'!K102+'Model inputs'!K105</f>
        <v>1700</v>
      </c>
      <c r="L34" s="32" t="n">
        <f aca="false">'Model inputs'!L102+'Model inputs'!L105</f>
        <v>1700</v>
      </c>
      <c r="M34" s="32" t="n">
        <f aca="false">'Model inputs'!M102+'Model inputs'!M105</f>
        <v>1700</v>
      </c>
      <c r="N34" s="32" t="n">
        <f aca="false">'Model inputs'!N102+'Model inputs'!N105</f>
        <v>1700</v>
      </c>
      <c r="O34" s="32" t="n">
        <v>0</v>
      </c>
      <c r="P34" s="32" t="n">
        <v>0</v>
      </c>
      <c r="Q34" s="32" t="n">
        <v>0</v>
      </c>
      <c r="R34" s="32" t="n">
        <v>0</v>
      </c>
      <c r="S34" s="32" t="n">
        <v>0</v>
      </c>
      <c r="T34" s="32" t="n">
        <v>0</v>
      </c>
      <c r="U34" s="32" t="n">
        <v>0</v>
      </c>
      <c r="V34" s="32" t="n">
        <v>0</v>
      </c>
      <c r="W34" s="32" t="n">
        <v>0</v>
      </c>
      <c r="X34" s="32" t="n">
        <f aca="false">'Model inputs'!X102+'Model inputs'!X105</f>
        <v>500</v>
      </c>
      <c r="Y34" s="32" t="n">
        <f aca="false">'Model inputs'!Y102+'Model inputs'!Y105</f>
        <v>500</v>
      </c>
    </row>
    <row r="35" customFormat="false" ht="18" hidden="false" customHeight="false" outlineLevel="0" collapsed="false">
      <c r="A35" s="41" t="s">
        <v>213</v>
      </c>
      <c r="Z35" s="21" t="n">
        <f aca="false">10</f>
        <v>10</v>
      </c>
    </row>
    <row r="36" customFormat="false" ht="18" hidden="false" customHeight="false" outlineLevel="0" collapsed="false">
      <c r="A36" s="41" t="s">
        <v>214</v>
      </c>
      <c r="AA36" s="21" t="n">
        <f aca="false">10</f>
        <v>10</v>
      </c>
    </row>
    <row r="37" customFormat="false" ht="18" hidden="false" customHeight="false" outlineLevel="0" collapsed="false">
      <c r="A37" s="41" t="s">
        <v>215</v>
      </c>
      <c r="Z37" s="21" t="n">
        <f aca="false">10</f>
        <v>10</v>
      </c>
    </row>
    <row r="38" customFormat="false" ht="18" hidden="false" customHeight="false" outlineLevel="0" collapsed="false">
      <c r="A38" s="41" t="s">
        <v>216</v>
      </c>
      <c r="Z38" s="21" t="n">
        <f aca="false">10</f>
        <v>10</v>
      </c>
    </row>
    <row r="39" customFormat="false" ht="18" hidden="false" customHeight="false" outlineLevel="0" collapsed="false">
      <c r="A39" s="41" t="s">
        <v>217</v>
      </c>
      <c r="Z39" s="21" t="n">
        <f aca="false">10</f>
        <v>10</v>
      </c>
    </row>
    <row r="40" customFormat="false" ht="18" hidden="false" customHeight="false" outlineLevel="0" collapsed="false">
      <c r="A40" s="41" t="s">
        <v>218</v>
      </c>
      <c r="Z40" s="21" t="n">
        <f aca="false">10</f>
        <v>10</v>
      </c>
    </row>
    <row r="41" customFormat="false" ht="18" hidden="false" customHeight="false" outlineLevel="0" collapsed="false">
      <c r="A41" s="41" t="s">
        <v>219</v>
      </c>
      <c r="B41" s="32" t="n">
        <f aca="false">'Model inputs'!B67-'Model inputs'!B31</f>
        <v>-500</v>
      </c>
      <c r="C41" s="32" t="n">
        <f aca="false">'Model inputs'!C67-'Model inputs'!C31</f>
        <v>-431</v>
      </c>
      <c r="D41" s="32" t="n">
        <f aca="false">'Model inputs'!D67-'Model inputs'!D31</f>
        <v>-224</v>
      </c>
      <c r="E41" s="32" t="n">
        <f aca="false">'Model inputs'!E67-'Model inputs'!E31</f>
        <v>121</v>
      </c>
      <c r="F41" s="32" t="n">
        <f aca="false">'Model inputs'!F67-'Model inputs'!F31</f>
        <v>466</v>
      </c>
      <c r="G41" s="32" t="n">
        <f aca="false">'Model inputs'!G67-'Model inputs'!G31</f>
        <v>880</v>
      </c>
      <c r="H41" s="32" t="n">
        <f aca="false">'Model inputs'!H67-'Model inputs'!H31</f>
        <v>1294</v>
      </c>
      <c r="I41" s="32" t="n">
        <f aca="false">'Model inputs'!I67-'Model inputs'!I31</f>
        <v>1708</v>
      </c>
      <c r="J41" s="32" t="n">
        <f aca="false">'Model inputs'!J67-'Model inputs'!J31</f>
        <v>2122</v>
      </c>
      <c r="K41" s="32" t="n">
        <f aca="false">'Model inputs'!K67-'Model inputs'!K31</f>
        <v>2260</v>
      </c>
      <c r="L41" s="32" t="n">
        <f aca="false">'Model inputs'!L67-'Model inputs'!L31</f>
        <v>2260</v>
      </c>
      <c r="M41" s="32" t="n">
        <f aca="false">'Model inputs'!M67-'Model inputs'!M31</f>
        <v>2260</v>
      </c>
      <c r="N41" s="32" t="n">
        <f aca="false">'Model inputs'!N67-'Model inputs'!N31</f>
        <v>2260</v>
      </c>
      <c r="O41" s="32" t="n">
        <v>0</v>
      </c>
      <c r="P41" s="32" t="n">
        <v>0</v>
      </c>
      <c r="Q41" s="32" t="n">
        <v>0</v>
      </c>
      <c r="R41" s="32" t="n">
        <v>0</v>
      </c>
      <c r="S41" s="32" t="n">
        <v>0</v>
      </c>
      <c r="T41" s="32" t="n">
        <v>0</v>
      </c>
      <c r="U41" s="32" t="n">
        <v>0</v>
      </c>
      <c r="V41" s="32" t="n">
        <v>0</v>
      </c>
      <c r="W41" s="32" t="n">
        <v>0</v>
      </c>
      <c r="X41" s="32" t="n">
        <f aca="false">'Model inputs'!X67-'Model inputs'!X31</f>
        <v>-500</v>
      </c>
      <c r="Y41" s="32" t="n">
        <f aca="false">'Model inputs'!Y67-'Model inputs'!Y31</f>
        <v>-500</v>
      </c>
    </row>
    <row r="42" customFormat="false" ht="18" hidden="false" customHeight="false" outlineLevel="0" collapsed="false">
      <c r="A42" s="41" t="s">
        <v>220</v>
      </c>
      <c r="B42" s="32" t="n">
        <f aca="false">'Model inputs'!B68-'Model inputs'!B88</f>
        <v>-500</v>
      </c>
      <c r="C42" s="32" t="n">
        <f aca="false">'Model inputs'!C68-'Model inputs'!C88</f>
        <v>-421</v>
      </c>
      <c r="D42" s="32" t="n">
        <f aca="false">'Model inputs'!D68-'Model inputs'!D88</f>
        <v>-184</v>
      </c>
      <c r="E42" s="32" t="n">
        <f aca="false">'Model inputs'!E68-'Model inputs'!E88</f>
        <v>211</v>
      </c>
      <c r="F42" s="32" t="n">
        <f aca="false">'Model inputs'!F68-'Model inputs'!F88</f>
        <v>606</v>
      </c>
      <c r="G42" s="32" t="n">
        <f aca="false">'Model inputs'!G68-'Model inputs'!G88</f>
        <v>1080</v>
      </c>
      <c r="H42" s="32" t="n">
        <f aca="false">'Model inputs'!H68-'Model inputs'!H88</f>
        <v>1554</v>
      </c>
      <c r="I42" s="32" t="n">
        <f aca="false">'Model inputs'!I68-'Model inputs'!I88</f>
        <v>2028</v>
      </c>
      <c r="J42" s="32" t="n">
        <f aca="false">'Model inputs'!J68-'Model inputs'!J88</f>
        <v>2502</v>
      </c>
      <c r="K42" s="32" t="n">
        <f aca="false">'Model inputs'!K68-'Model inputs'!K88</f>
        <v>2660</v>
      </c>
      <c r="L42" s="32" t="n">
        <f aca="false">'Model inputs'!L68-'Model inputs'!L88</f>
        <v>2660</v>
      </c>
      <c r="M42" s="32" t="n">
        <f aca="false">'Model inputs'!M68-'Model inputs'!M88</f>
        <v>2660</v>
      </c>
      <c r="N42" s="32" t="n">
        <f aca="false">'Model inputs'!N68-'Model inputs'!N88</f>
        <v>2660</v>
      </c>
      <c r="O42" s="32" t="n">
        <v>0</v>
      </c>
      <c r="P42" s="32" t="n">
        <v>0</v>
      </c>
      <c r="Q42" s="32" t="n">
        <v>0</v>
      </c>
      <c r="R42" s="32" t="n">
        <v>0</v>
      </c>
      <c r="S42" s="32" t="n">
        <v>0</v>
      </c>
      <c r="T42" s="32" t="n">
        <v>0</v>
      </c>
      <c r="U42" s="32" t="n">
        <v>0</v>
      </c>
      <c r="V42" s="32" t="n">
        <v>0</v>
      </c>
      <c r="W42" s="32" t="n">
        <v>0</v>
      </c>
      <c r="X42" s="32" t="n">
        <f aca="false">'Model inputs'!X68-'Model inputs'!X88</f>
        <v>-500</v>
      </c>
      <c r="Y42" s="32" t="n">
        <f aca="false">'Model inputs'!Y68-'Model inputs'!Y88</f>
        <v>-500</v>
      </c>
    </row>
    <row r="43" customFormat="false" ht="18" hidden="false" customHeight="false" outlineLevel="0" collapsed="false">
      <c r="A43" s="41" t="s">
        <v>221</v>
      </c>
      <c r="B43" s="32" t="n">
        <f aca="false">'Model inputs'!B69-'Model inputs'!B32</f>
        <v>-400</v>
      </c>
      <c r="C43" s="32" t="n">
        <f aca="false">'Model inputs'!C69-'Model inputs'!C32</f>
        <v>-331</v>
      </c>
      <c r="D43" s="32" t="n">
        <f aca="false">'Model inputs'!D69-'Model inputs'!D32</f>
        <v>-124</v>
      </c>
      <c r="E43" s="32" t="n">
        <f aca="false">'Model inputs'!E69-'Model inputs'!E32</f>
        <v>221</v>
      </c>
      <c r="F43" s="32" t="n">
        <f aca="false">'Model inputs'!F69-'Model inputs'!F32</f>
        <v>566</v>
      </c>
      <c r="G43" s="32" t="n">
        <f aca="false">'Model inputs'!G69-'Model inputs'!G32</f>
        <v>980</v>
      </c>
      <c r="H43" s="32" t="n">
        <f aca="false">'Model inputs'!H69-'Model inputs'!H32</f>
        <v>1394</v>
      </c>
      <c r="I43" s="32" t="n">
        <f aca="false">'Model inputs'!I69-'Model inputs'!I32</f>
        <v>1808</v>
      </c>
      <c r="J43" s="32" t="n">
        <f aca="false">'Model inputs'!J69-'Model inputs'!J32</f>
        <v>2222</v>
      </c>
      <c r="K43" s="32" t="n">
        <f aca="false">'Model inputs'!K69-'Model inputs'!K32</f>
        <v>2360</v>
      </c>
      <c r="L43" s="32" t="n">
        <f aca="false">'Model inputs'!L69-'Model inputs'!L32</f>
        <v>2360</v>
      </c>
      <c r="M43" s="32" t="n">
        <f aca="false">'Model inputs'!M69-'Model inputs'!M32</f>
        <v>2360</v>
      </c>
      <c r="N43" s="32" t="n">
        <f aca="false">'Model inputs'!N69-'Model inputs'!N32</f>
        <v>2360</v>
      </c>
      <c r="O43" s="32" t="n">
        <v>0</v>
      </c>
      <c r="P43" s="32" t="n">
        <v>0</v>
      </c>
      <c r="Q43" s="32" t="n">
        <v>0</v>
      </c>
      <c r="R43" s="32" t="n">
        <v>0</v>
      </c>
      <c r="S43" s="32" t="n">
        <v>0</v>
      </c>
      <c r="T43" s="32" t="n">
        <v>0</v>
      </c>
      <c r="U43" s="32" t="n">
        <v>0</v>
      </c>
      <c r="V43" s="32" t="n">
        <v>0</v>
      </c>
      <c r="W43" s="32" t="n">
        <v>0</v>
      </c>
      <c r="X43" s="32" t="n">
        <f aca="false">'Model inputs'!X69-'Model inputs'!X32</f>
        <v>-400</v>
      </c>
      <c r="Y43" s="32" t="n">
        <f aca="false">'Model inputs'!Y69-'Model inputs'!Y32</f>
        <v>-400</v>
      </c>
    </row>
    <row r="44" customFormat="false" ht="18" hidden="false" customHeight="false" outlineLevel="0" collapsed="false">
      <c r="A44" s="41" t="s">
        <v>222</v>
      </c>
      <c r="B44" s="32" t="n">
        <f aca="false">'Model inputs'!B70-'Model inputs'!B89</f>
        <v>-400</v>
      </c>
      <c r="C44" s="32" t="n">
        <f aca="false">'Model inputs'!C70-'Model inputs'!C89</f>
        <v>-321</v>
      </c>
      <c r="D44" s="32" t="n">
        <f aca="false">'Model inputs'!D70-'Model inputs'!D89</f>
        <v>-84</v>
      </c>
      <c r="E44" s="32" t="n">
        <f aca="false">'Model inputs'!E70-'Model inputs'!E89</f>
        <v>311</v>
      </c>
      <c r="F44" s="32" t="n">
        <f aca="false">'Model inputs'!F70-'Model inputs'!F89</f>
        <v>706</v>
      </c>
      <c r="G44" s="32" t="n">
        <f aca="false">'Model inputs'!G70-'Model inputs'!G89</f>
        <v>1180</v>
      </c>
      <c r="H44" s="32" t="n">
        <f aca="false">'Model inputs'!H70-'Model inputs'!H89</f>
        <v>1654</v>
      </c>
      <c r="I44" s="32" t="n">
        <f aca="false">'Model inputs'!I70-'Model inputs'!I89</f>
        <v>2128</v>
      </c>
      <c r="J44" s="32" t="n">
        <f aca="false">'Model inputs'!J70-'Model inputs'!J89</f>
        <v>2602</v>
      </c>
      <c r="K44" s="32" t="n">
        <f aca="false">'Model inputs'!K70-'Model inputs'!K89</f>
        <v>2760</v>
      </c>
      <c r="L44" s="32" t="n">
        <f aca="false">'Model inputs'!L70-'Model inputs'!L89</f>
        <v>2760</v>
      </c>
      <c r="M44" s="32" t="n">
        <f aca="false">'Model inputs'!M70-'Model inputs'!M89</f>
        <v>2760</v>
      </c>
      <c r="N44" s="32" t="n">
        <f aca="false">'Model inputs'!N70-'Model inputs'!N89</f>
        <v>2760</v>
      </c>
      <c r="O44" s="32" t="n">
        <v>0</v>
      </c>
      <c r="P44" s="32" t="n">
        <v>0</v>
      </c>
      <c r="Q44" s="32" t="n">
        <v>0</v>
      </c>
      <c r="R44" s="32" t="n">
        <v>0</v>
      </c>
      <c r="S44" s="32" t="n">
        <v>0</v>
      </c>
      <c r="T44" s="32" t="n">
        <v>0</v>
      </c>
      <c r="U44" s="32" t="n">
        <v>0</v>
      </c>
      <c r="V44" s="32" t="n">
        <v>0</v>
      </c>
      <c r="W44" s="32" t="n">
        <v>0</v>
      </c>
      <c r="X44" s="32" t="n">
        <f aca="false">'Model inputs'!X70-'Model inputs'!X89</f>
        <v>-400</v>
      </c>
      <c r="Y44" s="32" t="n">
        <f aca="false">'Model inputs'!Y70-'Model inputs'!Y89</f>
        <v>-400</v>
      </c>
    </row>
    <row r="45" customFormat="false" ht="18" hidden="false" customHeight="false" outlineLevel="0" collapsed="false">
      <c r="A45" s="41" t="s">
        <v>223</v>
      </c>
      <c r="B45" s="32" t="n">
        <f aca="false">'Model inputs'!B71-'Model inputs'!B33</f>
        <v>-300</v>
      </c>
      <c r="C45" s="32" t="n">
        <f aca="false">'Model inputs'!C71-'Model inputs'!C33</f>
        <v>-231</v>
      </c>
      <c r="D45" s="32" t="n">
        <f aca="false">'Model inputs'!D71-'Model inputs'!D33</f>
        <v>-24</v>
      </c>
      <c r="E45" s="32" t="n">
        <f aca="false">'Model inputs'!E71-'Model inputs'!E33</f>
        <v>321</v>
      </c>
      <c r="F45" s="32" t="n">
        <f aca="false">'Model inputs'!F71-'Model inputs'!F33</f>
        <v>666</v>
      </c>
      <c r="G45" s="32" t="n">
        <f aca="false">'Model inputs'!G71-'Model inputs'!G33</f>
        <v>1080</v>
      </c>
      <c r="H45" s="32" t="n">
        <f aca="false">'Model inputs'!H71-'Model inputs'!H33</f>
        <v>1494</v>
      </c>
      <c r="I45" s="32" t="n">
        <f aca="false">'Model inputs'!I71-'Model inputs'!I33</f>
        <v>1908</v>
      </c>
      <c r="J45" s="32" t="n">
        <f aca="false">'Model inputs'!J71-'Model inputs'!J33</f>
        <v>2322</v>
      </c>
      <c r="K45" s="32" t="n">
        <f aca="false">'Model inputs'!K71-'Model inputs'!K33</f>
        <v>2460</v>
      </c>
      <c r="L45" s="32" t="n">
        <f aca="false">'Model inputs'!L71-'Model inputs'!L33</f>
        <v>2460</v>
      </c>
      <c r="M45" s="32" t="n">
        <f aca="false">'Model inputs'!M71-'Model inputs'!M33</f>
        <v>2460</v>
      </c>
      <c r="N45" s="32" t="n">
        <f aca="false">'Model inputs'!N71-'Model inputs'!N33</f>
        <v>2460</v>
      </c>
      <c r="O45" s="32" t="n">
        <v>0</v>
      </c>
      <c r="P45" s="32" t="n">
        <v>0</v>
      </c>
      <c r="Q45" s="32" t="n">
        <v>0</v>
      </c>
      <c r="R45" s="32" t="n">
        <v>0</v>
      </c>
      <c r="S45" s="32" t="n">
        <v>0</v>
      </c>
      <c r="T45" s="32" t="n">
        <v>0</v>
      </c>
      <c r="U45" s="32" t="n">
        <v>0</v>
      </c>
      <c r="V45" s="32" t="n">
        <v>0</v>
      </c>
      <c r="W45" s="32" t="n">
        <v>0</v>
      </c>
      <c r="X45" s="32" t="n">
        <f aca="false">'Model inputs'!X71-'Model inputs'!X33</f>
        <v>-300</v>
      </c>
      <c r="Y45" s="32" t="n">
        <f aca="false">'Model inputs'!Y71-'Model inputs'!Y33</f>
        <v>-300</v>
      </c>
    </row>
    <row r="46" customFormat="false" ht="18" hidden="false" customHeight="false" outlineLevel="0" collapsed="false">
      <c r="A46" s="41" t="s">
        <v>224</v>
      </c>
      <c r="B46" s="32" t="n">
        <f aca="false">'Model inputs'!B72-'Model inputs'!B90</f>
        <v>-500</v>
      </c>
      <c r="C46" s="32" t="n">
        <f aca="false">'Model inputs'!C72-'Model inputs'!C90</f>
        <v>-411</v>
      </c>
      <c r="D46" s="32" t="n">
        <f aca="false">'Model inputs'!D72-'Model inputs'!D90</f>
        <v>-144</v>
      </c>
      <c r="E46" s="32" t="n">
        <f aca="false">'Model inputs'!E72-'Model inputs'!E90</f>
        <v>301</v>
      </c>
      <c r="F46" s="32" t="n">
        <f aca="false">'Model inputs'!F72-'Model inputs'!F90</f>
        <v>746</v>
      </c>
      <c r="G46" s="32" t="n">
        <f aca="false">'Model inputs'!G72-'Model inputs'!G90</f>
        <v>1280</v>
      </c>
      <c r="H46" s="32" t="n">
        <f aca="false">'Model inputs'!H72-'Model inputs'!H90</f>
        <v>1814</v>
      </c>
      <c r="I46" s="32" t="n">
        <f aca="false">'Model inputs'!I72-'Model inputs'!I90</f>
        <v>2348</v>
      </c>
      <c r="J46" s="32" t="n">
        <f aca="false">'Model inputs'!J72-'Model inputs'!J90</f>
        <v>2882</v>
      </c>
      <c r="K46" s="32" t="n">
        <f aca="false">'Model inputs'!K72-'Model inputs'!K90</f>
        <v>3060</v>
      </c>
      <c r="L46" s="32" t="n">
        <f aca="false">'Model inputs'!L72-'Model inputs'!L90</f>
        <v>3060</v>
      </c>
      <c r="M46" s="32" t="n">
        <f aca="false">'Model inputs'!M72-'Model inputs'!M90</f>
        <v>3060</v>
      </c>
      <c r="N46" s="32" t="n">
        <f aca="false">'Model inputs'!N72-'Model inputs'!N90</f>
        <v>3060</v>
      </c>
      <c r="O46" s="32" t="n">
        <v>0</v>
      </c>
      <c r="P46" s="32" t="n">
        <v>0</v>
      </c>
      <c r="Q46" s="32" t="n">
        <v>0</v>
      </c>
      <c r="R46" s="32" t="n">
        <v>0</v>
      </c>
      <c r="S46" s="32" t="n">
        <v>0</v>
      </c>
      <c r="T46" s="32" t="n">
        <v>0</v>
      </c>
      <c r="U46" s="32" t="n">
        <v>0</v>
      </c>
      <c r="V46" s="32" t="n">
        <v>0</v>
      </c>
      <c r="W46" s="32" t="n">
        <v>0</v>
      </c>
      <c r="X46" s="32" t="n">
        <f aca="false">'Model inputs'!X72-'Model inputs'!X90</f>
        <v>-500</v>
      </c>
      <c r="Y46" s="32" t="n">
        <f aca="false">'Model inputs'!Y72-'Model inputs'!Y90</f>
        <v>-500</v>
      </c>
    </row>
    <row r="47" customFormat="false" ht="18" hidden="false" customHeight="false" outlineLevel="0" collapsed="false">
      <c r="A47" s="41" t="s">
        <v>225</v>
      </c>
      <c r="B47" s="32" t="n">
        <f aca="false">'Model inputs'!B73-'Model inputs'!B91</f>
        <v>-400</v>
      </c>
      <c r="C47" s="32" t="n">
        <f aca="false">'Model inputs'!C73-'Model inputs'!C91</f>
        <v>-311</v>
      </c>
      <c r="D47" s="32" t="n">
        <f aca="false">'Model inputs'!D73-'Model inputs'!D91</f>
        <v>-44</v>
      </c>
      <c r="E47" s="32" t="n">
        <f aca="false">'Model inputs'!E73-'Model inputs'!E91</f>
        <v>401</v>
      </c>
      <c r="F47" s="32" t="n">
        <f aca="false">'Model inputs'!F73-'Model inputs'!F91</f>
        <v>846</v>
      </c>
      <c r="G47" s="32" t="n">
        <f aca="false">'Model inputs'!G73-'Model inputs'!G91</f>
        <v>1380</v>
      </c>
      <c r="H47" s="32" t="n">
        <f aca="false">'Model inputs'!H73-'Model inputs'!H91</f>
        <v>1914</v>
      </c>
      <c r="I47" s="32" t="n">
        <f aca="false">'Model inputs'!I73-'Model inputs'!I91</f>
        <v>2448</v>
      </c>
      <c r="J47" s="32" t="n">
        <f aca="false">'Model inputs'!J73-'Model inputs'!J91</f>
        <v>2982</v>
      </c>
      <c r="K47" s="32" t="n">
        <f aca="false">'Model inputs'!K73-'Model inputs'!K91</f>
        <v>3160</v>
      </c>
      <c r="L47" s="32" t="n">
        <f aca="false">'Model inputs'!L73-'Model inputs'!L91</f>
        <v>3160</v>
      </c>
      <c r="M47" s="32" t="n">
        <f aca="false">'Model inputs'!M73-'Model inputs'!M91</f>
        <v>3160</v>
      </c>
      <c r="N47" s="32" t="n">
        <f aca="false">'Model inputs'!N73-'Model inputs'!N91</f>
        <v>3160</v>
      </c>
      <c r="O47" s="32" t="n">
        <v>0</v>
      </c>
      <c r="P47" s="32" t="n">
        <v>0</v>
      </c>
      <c r="Q47" s="32" t="n">
        <v>0</v>
      </c>
      <c r="R47" s="32" t="n">
        <v>0</v>
      </c>
      <c r="S47" s="32" t="n">
        <v>0</v>
      </c>
      <c r="T47" s="32" t="n">
        <v>0</v>
      </c>
      <c r="U47" s="32" t="n">
        <v>0</v>
      </c>
      <c r="V47" s="32" t="n">
        <v>0</v>
      </c>
      <c r="W47" s="32" t="n">
        <v>0</v>
      </c>
      <c r="X47" s="32" t="n">
        <f aca="false">'Model inputs'!X73-'Model inputs'!X91</f>
        <v>-400</v>
      </c>
      <c r="Y47" s="32" t="n">
        <f aca="false">'Model inputs'!Y73-'Model inputs'!Y91</f>
        <v>-400</v>
      </c>
    </row>
    <row r="48" customFormat="false" ht="18" hidden="false" customHeight="false" outlineLevel="0" collapsed="false">
      <c r="A48" s="41" t="s">
        <v>226</v>
      </c>
      <c r="B48" s="32" t="n">
        <f aca="false">'Model inputs'!B106-'Model inputs'!B34</f>
        <v>-500</v>
      </c>
      <c r="C48" s="32" t="n">
        <f aca="false">'Model inputs'!C106-'Model inputs'!C34</f>
        <v>-431</v>
      </c>
      <c r="D48" s="32" t="n">
        <f aca="false">'Model inputs'!D106-'Model inputs'!D34</f>
        <v>-224</v>
      </c>
      <c r="E48" s="32" t="n">
        <f aca="false">'Model inputs'!E106-'Model inputs'!E34</f>
        <v>121</v>
      </c>
      <c r="F48" s="32" t="n">
        <f aca="false">'Model inputs'!F106-'Model inputs'!F34</f>
        <v>466</v>
      </c>
      <c r="G48" s="32" t="n">
        <f aca="false">'Model inputs'!G106-'Model inputs'!G34</f>
        <v>880</v>
      </c>
      <c r="H48" s="32" t="n">
        <f aca="false">'Model inputs'!H106-'Model inputs'!H34</f>
        <v>1294</v>
      </c>
      <c r="I48" s="32" t="n">
        <f aca="false">'Model inputs'!I106-'Model inputs'!I34</f>
        <v>1708</v>
      </c>
      <c r="J48" s="32" t="n">
        <f aca="false">'Model inputs'!J106-'Model inputs'!J34</f>
        <v>2122</v>
      </c>
      <c r="K48" s="32" t="n">
        <f aca="false">'Model inputs'!K106-'Model inputs'!K34</f>
        <v>2260</v>
      </c>
      <c r="L48" s="32" t="n">
        <f aca="false">'Model inputs'!L106-'Model inputs'!L34</f>
        <v>2260</v>
      </c>
      <c r="M48" s="32" t="n">
        <f aca="false">'Model inputs'!M106-'Model inputs'!M34</f>
        <v>2260</v>
      </c>
      <c r="N48" s="32" t="n">
        <f aca="false">'Model inputs'!N106-'Model inputs'!N34</f>
        <v>2260</v>
      </c>
      <c r="O48" s="32" t="n">
        <v>0</v>
      </c>
      <c r="P48" s="32" t="n">
        <v>0</v>
      </c>
      <c r="Q48" s="32" t="n">
        <v>0</v>
      </c>
      <c r="R48" s="32" t="n">
        <v>0</v>
      </c>
      <c r="S48" s="32" t="n">
        <v>0</v>
      </c>
      <c r="T48" s="32" t="n">
        <v>0</v>
      </c>
      <c r="U48" s="32" t="n">
        <v>0</v>
      </c>
      <c r="V48" s="32" t="n">
        <v>0</v>
      </c>
      <c r="W48" s="32" t="n">
        <v>0</v>
      </c>
      <c r="X48" s="32" t="n">
        <f aca="false">'Model inputs'!X106-'Model inputs'!X34</f>
        <v>-500</v>
      </c>
      <c r="Y48" s="32" t="n">
        <f aca="false">'Model inputs'!Y106-'Model inputs'!Y34</f>
        <v>-500</v>
      </c>
    </row>
    <row r="49" customFormat="false" ht="18" hidden="false" customHeight="false" outlineLevel="0" collapsed="false">
      <c r="A49" s="41" t="s">
        <v>227</v>
      </c>
      <c r="B49" s="32" t="n">
        <f aca="false">'Model inputs'!B74-'Model inputs'!B92</f>
        <v>-300</v>
      </c>
      <c r="C49" s="32" t="n">
        <f aca="false">'Model inputs'!C74-'Model inputs'!C92</f>
        <v>-221</v>
      </c>
      <c r="D49" s="32" t="n">
        <f aca="false">'Model inputs'!D74-'Model inputs'!D92</f>
        <v>16</v>
      </c>
      <c r="E49" s="32" t="n">
        <f aca="false">'Model inputs'!E74-'Model inputs'!E92</f>
        <v>411</v>
      </c>
      <c r="F49" s="32" t="n">
        <f aca="false">'Model inputs'!F74-'Model inputs'!F92</f>
        <v>806</v>
      </c>
      <c r="G49" s="32" t="n">
        <f aca="false">'Model inputs'!G74-'Model inputs'!G92</f>
        <v>1280</v>
      </c>
      <c r="H49" s="32" t="n">
        <f aca="false">'Model inputs'!H74-'Model inputs'!H92</f>
        <v>1754</v>
      </c>
      <c r="I49" s="32" t="n">
        <f aca="false">'Model inputs'!I74-'Model inputs'!I92</f>
        <v>2228</v>
      </c>
      <c r="J49" s="32" t="n">
        <f aca="false">'Model inputs'!J74-'Model inputs'!J92</f>
        <v>2702</v>
      </c>
      <c r="K49" s="32" t="n">
        <f aca="false">'Model inputs'!K74-'Model inputs'!K92</f>
        <v>2860</v>
      </c>
      <c r="L49" s="32" t="n">
        <f aca="false">'Model inputs'!L74-'Model inputs'!L92</f>
        <v>2860</v>
      </c>
      <c r="M49" s="32" t="n">
        <f aca="false">'Model inputs'!M74-'Model inputs'!M92</f>
        <v>2860</v>
      </c>
      <c r="N49" s="32" t="n">
        <f aca="false">'Model inputs'!N74-'Model inputs'!N92</f>
        <v>2860</v>
      </c>
      <c r="O49" s="32" t="n">
        <v>0</v>
      </c>
      <c r="P49" s="32" t="n">
        <v>0</v>
      </c>
      <c r="Q49" s="32" t="n">
        <v>0</v>
      </c>
      <c r="R49" s="32" t="n">
        <v>0</v>
      </c>
      <c r="S49" s="32" t="n">
        <v>0</v>
      </c>
      <c r="T49" s="32" t="n">
        <v>0</v>
      </c>
      <c r="U49" s="32" t="n">
        <v>0</v>
      </c>
      <c r="V49" s="32" t="n">
        <v>0</v>
      </c>
      <c r="W49" s="32" t="n">
        <v>0</v>
      </c>
      <c r="X49" s="32" t="n">
        <f aca="false">'Model inputs'!X74-'Model inputs'!X92</f>
        <v>-300</v>
      </c>
      <c r="Y49" s="32" t="n">
        <f aca="false">'Model inputs'!Y74-'Model inputs'!Y92</f>
        <v>-300</v>
      </c>
    </row>
    <row r="50" customFormat="false" ht="18" hidden="false" customHeight="false" outlineLevel="0" collapsed="false">
      <c r="A50" s="41" t="s">
        <v>228</v>
      </c>
      <c r="B50" s="32" t="n">
        <f aca="false">'Model inputs'!B75-'Model inputs'!B93</f>
        <v>-300</v>
      </c>
      <c r="C50" s="32" t="n">
        <f aca="false">'Model inputs'!C75-'Model inputs'!C93</f>
        <v>-211</v>
      </c>
      <c r="D50" s="32" t="n">
        <f aca="false">'Model inputs'!D75-'Model inputs'!D93</f>
        <v>56</v>
      </c>
      <c r="E50" s="32" t="n">
        <f aca="false">'Model inputs'!E75-'Model inputs'!E93</f>
        <v>501</v>
      </c>
      <c r="F50" s="32" t="n">
        <f aca="false">'Model inputs'!F75-'Model inputs'!F93</f>
        <v>946</v>
      </c>
      <c r="G50" s="32" t="n">
        <f aca="false">'Model inputs'!G75-'Model inputs'!G93</f>
        <v>1480</v>
      </c>
      <c r="H50" s="32" t="n">
        <f aca="false">'Model inputs'!H75-'Model inputs'!H93</f>
        <v>2014</v>
      </c>
      <c r="I50" s="32" t="n">
        <f aca="false">'Model inputs'!I75-'Model inputs'!I93</f>
        <v>2548</v>
      </c>
      <c r="J50" s="32" t="n">
        <f aca="false">'Model inputs'!J75-'Model inputs'!J93</f>
        <v>3082</v>
      </c>
      <c r="K50" s="32" t="n">
        <f aca="false">'Model inputs'!K75-'Model inputs'!K93</f>
        <v>3260</v>
      </c>
      <c r="L50" s="32" t="n">
        <f aca="false">'Model inputs'!L75-'Model inputs'!L93</f>
        <v>3260</v>
      </c>
      <c r="M50" s="32" t="n">
        <f aca="false">'Model inputs'!M75-'Model inputs'!M93</f>
        <v>3260</v>
      </c>
      <c r="N50" s="32" t="n">
        <f aca="false">'Model inputs'!N75-'Model inputs'!N93</f>
        <v>3260</v>
      </c>
      <c r="O50" s="32" t="n">
        <v>0</v>
      </c>
      <c r="P50" s="32" t="n">
        <v>0</v>
      </c>
      <c r="Q50" s="32" t="n">
        <v>0</v>
      </c>
      <c r="R50" s="32" t="n">
        <v>0</v>
      </c>
      <c r="S50" s="32" t="n">
        <v>0</v>
      </c>
      <c r="T50" s="32" t="n">
        <v>0</v>
      </c>
      <c r="U50" s="32" t="n">
        <v>0</v>
      </c>
      <c r="V50" s="32" t="n">
        <v>0</v>
      </c>
      <c r="W50" s="32" t="n">
        <v>0</v>
      </c>
      <c r="X50" s="32" t="n">
        <f aca="false">'Model inputs'!X75-'Model inputs'!X93</f>
        <v>-300</v>
      </c>
      <c r="Y50" s="32" t="n">
        <f aca="false">'Model inputs'!Y75-'Model inputs'!Y93</f>
        <v>-300</v>
      </c>
    </row>
    <row r="51" customFormat="false" ht="18" hidden="false" customHeight="false" outlineLevel="0" collapsed="false">
      <c r="A51" s="41" t="s">
        <v>229</v>
      </c>
      <c r="B51" s="32" t="n">
        <f aca="false">'Model inputs'!B16*'Model inputs'!Z35*'Model inputs'!Z25</f>
        <v>0</v>
      </c>
      <c r="C51" s="32" t="n">
        <f aca="false">'Model inputs'!C16*'Model inputs'!Z35*'Model inputs'!Z25</f>
        <v>30</v>
      </c>
      <c r="D51" s="32" t="n">
        <f aca="false">'Model inputs'!D16*'Model inputs'!Z35*'Model inputs'!Z25</f>
        <v>120</v>
      </c>
      <c r="E51" s="32" t="n">
        <f aca="false">'Model inputs'!E16*'Model inputs'!Z35*'Model inputs'!Z25</f>
        <v>270</v>
      </c>
      <c r="F51" s="32" t="n">
        <f aca="false">'Model inputs'!F16*'Model inputs'!Z35*'Model inputs'!Z25</f>
        <v>420</v>
      </c>
      <c r="G51" s="32" t="n">
        <f aca="false">'Model inputs'!G16*'Model inputs'!Z35*'Model inputs'!Z25</f>
        <v>600</v>
      </c>
      <c r="H51" s="32" t="n">
        <f aca="false">'Model inputs'!H16*'Model inputs'!Z35*'Model inputs'!Z25</f>
        <v>780</v>
      </c>
      <c r="I51" s="32" t="n">
        <f aca="false">'Model inputs'!I16*'Model inputs'!Z35*'Model inputs'!Z25</f>
        <v>960</v>
      </c>
      <c r="J51" s="32" t="n">
        <f aca="false">'Model inputs'!J16*'Model inputs'!Z35*'Model inputs'!Z25</f>
        <v>1140</v>
      </c>
      <c r="K51" s="32" t="n">
        <f aca="false">'Model inputs'!K16*'Model inputs'!Z35*'Model inputs'!Z25</f>
        <v>1200</v>
      </c>
      <c r="L51" s="32" t="n">
        <f aca="false">'Model inputs'!L16*'Model inputs'!Z35*'Model inputs'!Z25</f>
        <v>1200</v>
      </c>
      <c r="M51" s="32" t="n">
        <f aca="false">'Model inputs'!M16*'Model inputs'!Z35*'Model inputs'!Z25</f>
        <v>1200</v>
      </c>
      <c r="N51" s="32" t="n">
        <f aca="false">'Model inputs'!N16*'Model inputs'!Z35*'Model inputs'!Z25</f>
        <v>1200</v>
      </c>
      <c r="O51" s="32" t="n">
        <v>0</v>
      </c>
      <c r="P51" s="32" t="n">
        <v>0</v>
      </c>
      <c r="Q51" s="32" t="n">
        <v>0</v>
      </c>
      <c r="R51" s="32" t="n">
        <v>0</v>
      </c>
      <c r="S51" s="32" t="n">
        <v>0</v>
      </c>
      <c r="T51" s="32" t="n">
        <v>0</v>
      </c>
      <c r="U51" s="32" t="n">
        <v>0</v>
      </c>
      <c r="V51" s="32" t="n">
        <v>0</v>
      </c>
      <c r="W51" s="32" t="n">
        <v>0</v>
      </c>
      <c r="X51" s="32" t="n">
        <f aca="false">'Model inputs'!X16*'Model inputs'!Z35*'Model inputs'!Z25</f>
        <v>0</v>
      </c>
      <c r="Y51" s="32" t="n">
        <f aca="false">'Model inputs'!Y16*'Model inputs'!Z35*'Model inputs'!Z25</f>
        <v>0</v>
      </c>
    </row>
    <row r="52" customFormat="false" ht="18" hidden="false" customHeight="false" outlineLevel="0" collapsed="false">
      <c r="A52" s="41" t="s">
        <v>230</v>
      </c>
      <c r="B52" s="32" t="n">
        <f aca="false">'Model inputs'!B17*'Model inputs'!Z37*'Model inputs'!Z27</f>
        <v>0</v>
      </c>
      <c r="C52" s="32" t="n">
        <f aca="false">'Model inputs'!C17*'Model inputs'!Z37*'Model inputs'!Z27</f>
        <v>30</v>
      </c>
      <c r="D52" s="32" t="n">
        <f aca="false">'Model inputs'!D17*'Model inputs'!Z37*'Model inputs'!Z27</f>
        <v>120</v>
      </c>
      <c r="E52" s="32" t="n">
        <f aca="false">'Model inputs'!E17*'Model inputs'!Z37*'Model inputs'!Z27</f>
        <v>270</v>
      </c>
      <c r="F52" s="32" t="n">
        <f aca="false">'Model inputs'!F17*'Model inputs'!Z37*'Model inputs'!Z27</f>
        <v>420</v>
      </c>
      <c r="G52" s="32" t="n">
        <f aca="false">'Model inputs'!G17*'Model inputs'!Z37*'Model inputs'!Z27</f>
        <v>600</v>
      </c>
      <c r="H52" s="32" t="n">
        <f aca="false">'Model inputs'!H17*'Model inputs'!Z37*'Model inputs'!Z27</f>
        <v>780</v>
      </c>
      <c r="I52" s="32" t="n">
        <f aca="false">'Model inputs'!I17*'Model inputs'!Z37*'Model inputs'!Z27</f>
        <v>960</v>
      </c>
      <c r="J52" s="32" t="n">
        <f aca="false">'Model inputs'!J17*'Model inputs'!Z37*'Model inputs'!Z27</f>
        <v>1140</v>
      </c>
      <c r="K52" s="32" t="n">
        <f aca="false">'Model inputs'!K17*'Model inputs'!Z37*'Model inputs'!Z27</f>
        <v>1200</v>
      </c>
      <c r="L52" s="32" t="n">
        <f aca="false">'Model inputs'!L17*'Model inputs'!Z37*'Model inputs'!Z27</f>
        <v>1200</v>
      </c>
      <c r="M52" s="32" t="n">
        <f aca="false">'Model inputs'!M17*'Model inputs'!Z37*'Model inputs'!Z27</f>
        <v>1200</v>
      </c>
      <c r="N52" s="32" t="n">
        <f aca="false">'Model inputs'!N17*'Model inputs'!Z37*'Model inputs'!Z27</f>
        <v>1200</v>
      </c>
      <c r="O52" s="32" t="n">
        <v>0</v>
      </c>
      <c r="P52" s="32" t="n">
        <v>0</v>
      </c>
      <c r="Q52" s="32" t="n">
        <v>0</v>
      </c>
      <c r="R52" s="32" t="n">
        <v>0</v>
      </c>
      <c r="S52" s="32" t="n">
        <v>0</v>
      </c>
      <c r="T52" s="32" t="n">
        <v>0</v>
      </c>
      <c r="U52" s="32" t="n">
        <v>0</v>
      </c>
      <c r="V52" s="32" t="n">
        <v>0</v>
      </c>
      <c r="W52" s="32" t="n">
        <v>0</v>
      </c>
      <c r="X52" s="32" t="n">
        <f aca="false">'Model inputs'!X17*'Model inputs'!Z37*'Model inputs'!Z27</f>
        <v>0</v>
      </c>
      <c r="Y52" s="32" t="n">
        <f aca="false">'Model inputs'!Y17*'Model inputs'!Z37*'Model inputs'!Z27</f>
        <v>0</v>
      </c>
    </row>
    <row r="53" customFormat="false" ht="18" hidden="false" customHeight="false" outlineLevel="0" collapsed="false">
      <c r="A53" s="41" t="s">
        <v>231</v>
      </c>
      <c r="B53" s="32" t="n">
        <f aca="false">'Model inputs'!B18*'Model inputs'!AA95*'Model inputs'!AA81</f>
        <v>0</v>
      </c>
      <c r="C53" s="32" t="n">
        <f aca="false">'Model inputs'!C18*'Model inputs'!AA95*'Model inputs'!AA81</f>
        <v>30</v>
      </c>
      <c r="D53" s="32" t="n">
        <f aca="false">'Model inputs'!D18*'Model inputs'!AA95*'Model inputs'!AA81</f>
        <v>120</v>
      </c>
      <c r="E53" s="32" t="n">
        <f aca="false">'Model inputs'!E18*'Model inputs'!AA95*'Model inputs'!AA81</f>
        <v>270</v>
      </c>
      <c r="F53" s="32" t="n">
        <f aca="false">'Model inputs'!F18*'Model inputs'!AA95*'Model inputs'!AA81</f>
        <v>420</v>
      </c>
      <c r="G53" s="32" t="n">
        <f aca="false">'Model inputs'!G18*'Model inputs'!AA95*'Model inputs'!AA81</f>
        <v>600</v>
      </c>
      <c r="H53" s="32" t="n">
        <f aca="false">'Model inputs'!H18*'Model inputs'!AA95*'Model inputs'!AA81</f>
        <v>780</v>
      </c>
      <c r="I53" s="32" t="n">
        <f aca="false">'Model inputs'!I18*'Model inputs'!AA95*'Model inputs'!AA81</f>
        <v>960</v>
      </c>
      <c r="J53" s="32" t="n">
        <f aca="false">'Model inputs'!J18*'Model inputs'!AA95*'Model inputs'!AA81</f>
        <v>1140</v>
      </c>
      <c r="K53" s="32" t="n">
        <f aca="false">'Model inputs'!K18*'Model inputs'!AA95*'Model inputs'!AA81</f>
        <v>1200</v>
      </c>
      <c r="L53" s="32" t="n">
        <f aca="false">'Model inputs'!L18*'Model inputs'!AA95*'Model inputs'!AA81</f>
        <v>1200</v>
      </c>
      <c r="M53" s="32" t="n">
        <f aca="false">'Model inputs'!M18*'Model inputs'!AA95*'Model inputs'!AA81</f>
        <v>1200</v>
      </c>
      <c r="N53" s="32" t="n">
        <f aca="false">'Model inputs'!N18*'Model inputs'!AA95*'Model inputs'!AA81</f>
        <v>1200</v>
      </c>
      <c r="O53" s="32" t="n">
        <v>0</v>
      </c>
      <c r="P53" s="32" t="n">
        <v>0</v>
      </c>
      <c r="Q53" s="32" t="n">
        <v>0</v>
      </c>
      <c r="R53" s="32" t="n">
        <v>0</v>
      </c>
      <c r="S53" s="32" t="n">
        <v>0</v>
      </c>
      <c r="T53" s="32" t="n">
        <v>0</v>
      </c>
      <c r="U53" s="32" t="n">
        <v>0</v>
      </c>
      <c r="V53" s="32" t="n">
        <v>0</v>
      </c>
      <c r="W53" s="32" t="n">
        <v>0</v>
      </c>
      <c r="X53" s="32" t="n">
        <f aca="false">'Model inputs'!X18*'Model inputs'!AA95*'Model inputs'!AA81</f>
        <v>0</v>
      </c>
      <c r="Y53" s="32" t="n">
        <f aca="false">'Model inputs'!Y18*'Model inputs'!AA95*'Model inputs'!AA81</f>
        <v>0</v>
      </c>
    </row>
    <row r="54" customFormat="false" ht="18" hidden="false" customHeight="false" outlineLevel="0" collapsed="false">
      <c r="A54" s="41" t="s">
        <v>232</v>
      </c>
      <c r="B54" s="32" t="n">
        <f aca="false">'Model inputs'!B19*'Model inputs'!AA96*'Model inputs'!AA82</f>
        <v>0</v>
      </c>
      <c r="C54" s="32" t="n">
        <f aca="false">'Model inputs'!C19*'Model inputs'!AA96*'Model inputs'!AA82</f>
        <v>30</v>
      </c>
      <c r="D54" s="32" t="n">
        <f aca="false">'Model inputs'!D19*'Model inputs'!AA96*'Model inputs'!AA82</f>
        <v>120</v>
      </c>
      <c r="E54" s="32" t="n">
        <f aca="false">'Model inputs'!E19*'Model inputs'!AA96*'Model inputs'!AA82</f>
        <v>270</v>
      </c>
      <c r="F54" s="32" t="n">
        <f aca="false">'Model inputs'!F19*'Model inputs'!AA96*'Model inputs'!AA82</f>
        <v>420</v>
      </c>
      <c r="G54" s="32" t="n">
        <f aca="false">'Model inputs'!G19*'Model inputs'!AA96*'Model inputs'!AA82</f>
        <v>600</v>
      </c>
      <c r="H54" s="32" t="n">
        <f aca="false">'Model inputs'!H19*'Model inputs'!AA96*'Model inputs'!AA82</f>
        <v>780</v>
      </c>
      <c r="I54" s="32" t="n">
        <f aca="false">'Model inputs'!I19*'Model inputs'!AA96*'Model inputs'!AA82</f>
        <v>960</v>
      </c>
      <c r="J54" s="32" t="n">
        <f aca="false">'Model inputs'!J19*'Model inputs'!AA96*'Model inputs'!AA82</f>
        <v>1140</v>
      </c>
      <c r="K54" s="32" t="n">
        <f aca="false">'Model inputs'!K19*'Model inputs'!AA96*'Model inputs'!AA82</f>
        <v>1200</v>
      </c>
      <c r="L54" s="32" t="n">
        <f aca="false">'Model inputs'!L19*'Model inputs'!AA96*'Model inputs'!AA82</f>
        <v>1200</v>
      </c>
      <c r="M54" s="32" t="n">
        <f aca="false">'Model inputs'!M19*'Model inputs'!AA96*'Model inputs'!AA82</f>
        <v>1200</v>
      </c>
      <c r="N54" s="32" t="n">
        <f aca="false">'Model inputs'!N19*'Model inputs'!AA96*'Model inputs'!AA82</f>
        <v>1200</v>
      </c>
      <c r="O54" s="32" t="n">
        <v>0</v>
      </c>
      <c r="P54" s="32" t="n">
        <v>0</v>
      </c>
      <c r="Q54" s="32" t="n">
        <v>0</v>
      </c>
      <c r="R54" s="32" t="n">
        <v>0</v>
      </c>
      <c r="S54" s="32" t="n">
        <v>0</v>
      </c>
      <c r="T54" s="32" t="n">
        <v>0</v>
      </c>
      <c r="U54" s="32" t="n">
        <v>0</v>
      </c>
      <c r="V54" s="32" t="n">
        <v>0</v>
      </c>
      <c r="W54" s="32" t="n">
        <v>0</v>
      </c>
      <c r="X54" s="32" t="n">
        <f aca="false">'Model inputs'!X19*'Model inputs'!AA96*'Model inputs'!AA82</f>
        <v>0</v>
      </c>
      <c r="Y54" s="32" t="n">
        <f aca="false">'Model inputs'!Y19*'Model inputs'!AA96*'Model inputs'!AA82</f>
        <v>0</v>
      </c>
    </row>
    <row r="55" customFormat="false" ht="18" hidden="false" customHeight="false" outlineLevel="0" collapsed="false">
      <c r="A55" s="41" t="s">
        <v>233</v>
      </c>
      <c r="B55" s="32" t="n">
        <f aca="false">'Model inputs'!B20*'Model inputs'!AA97*'Model inputs'!AA83</f>
        <v>0</v>
      </c>
      <c r="C55" s="32" t="n">
        <f aca="false">'Model inputs'!C20*'Model inputs'!AA97*'Model inputs'!AA83</f>
        <v>30</v>
      </c>
      <c r="D55" s="32" t="n">
        <f aca="false">'Model inputs'!D20*'Model inputs'!AA97*'Model inputs'!AA83</f>
        <v>120</v>
      </c>
      <c r="E55" s="32" t="n">
        <f aca="false">'Model inputs'!E20*'Model inputs'!AA97*'Model inputs'!AA83</f>
        <v>270</v>
      </c>
      <c r="F55" s="32" t="n">
        <f aca="false">'Model inputs'!F20*'Model inputs'!AA97*'Model inputs'!AA83</f>
        <v>420</v>
      </c>
      <c r="G55" s="32" t="n">
        <f aca="false">'Model inputs'!G20*'Model inputs'!AA97*'Model inputs'!AA83</f>
        <v>600</v>
      </c>
      <c r="H55" s="32" t="n">
        <f aca="false">'Model inputs'!H20*'Model inputs'!AA97*'Model inputs'!AA83</f>
        <v>780</v>
      </c>
      <c r="I55" s="32" t="n">
        <f aca="false">'Model inputs'!I20*'Model inputs'!AA97*'Model inputs'!AA83</f>
        <v>960</v>
      </c>
      <c r="J55" s="32" t="n">
        <f aca="false">'Model inputs'!J20*'Model inputs'!AA97*'Model inputs'!AA83</f>
        <v>1140</v>
      </c>
      <c r="K55" s="32" t="n">
        <f aca="false">'Model inputs'!K20*'Model inputs'!AA97*'Model inputs'!AA83</f>
        <v>1200</v>
      </c>
      <c r="L55" s="32" t="n">
        <f aca="false">'Model inputs'!L20*'Model inputs'!AA97*'Model inputs'!AA83</f>
        <v>1200</v>
      </c>
      <c r="M55" s="32" t="n">
        <f aca="false">'Model inputs'!M20*'Model inputs'!AA97*'Model inputs'!AA83</f>
        <v>1200</v>
      </c>
      <c r="N55" s="32" t="n">
        <f aca="false">'Model inputs'!N20*'Model inputs'!AA97*'Model inputs'!AA83</f>
        <v>1200</v>
      </c>
      <c r="O55" s="32" t="n">
        <v>0</v>
      </c>
      <c r="P55" s="32" t="n">
        <v>0</v>
      </c>
      <c r="Q55" s="32" t="n">
        <v>0</v>
      </c>
      <c r="R55" s="32" t="n">
        <v>0</v>
      </c>
      <c r="S55" s="32" t="n">
        <v>0</v>
      </c>
      <c r="T55" s="32" t="n">
        <v>0</v>
      </c>
      <c r="U55" s="32" t="n">
        <v>0</v>
      </c>
      <c r="V55" s="32" t="n">
        <v>0</v>
      </c>
      <c r="W55" s="32" t="n">
        <v>0</v>
      </c>
      <c r="X55" s="32" t="n">
        <f aca="false">'Model inputs'!X20*'Model inputs'!AA97*'Model inputs'!AA83</f>
        <v>0</v>
      </c>
      <c r="Y55" s="32" t="n">
        <f aca="false">'Model inputs'!Y20*'Model inputs'!AA97*'Model inputs'!AA83</f>
        <v>0</v>
      </c>
    </row>
    <row r="56" customFormat="false" ht="18" hidden="false" customHeight="false" outlineLevel="0" collapsed="false">
      <c r="A56" s="41" t="s">
        <v>234</v>
      </c>
      <c r="B56" s="32" t="n">
        <f aca="false">'Model inputs'!B21*'Model inputs'!Z40*'Model inputs'!Z30</f>
        <v>0</v>
      </c>
      <c r="C56" s="32" t="n">
        <f aca="false">'Model inputs'!C21*'Model inputs'!Z40*'Model inputs'!Z30</f>
        <v>30</v>
      </c>
      <c r="D56" s="32" t="n">
        <f aca="false">'Model inputs'!D21*'Model inputs'!Z40*'Model inputs'!Z30</f>
        <v>120</v>
      </c>
      <c r="E56" s="32" t="n">
        <f aca="false">'Model inputs'!E21*'Model inputs'!Z40*'Model inputs'!Z30</f>
        <v>270</v>
      </c>
      <c r="F56" s="32" t="n">
        <f aca="false">'Model inputs'!F21*'Model inputs'!Z40*'Model inputs'!Z30</f>
        <v>420</v>
      </c>
      <c r="G56" s="32" t="n">
        <f aca="false">'Model inputs'!G21*'Model inputs'!Z40*'Model inputs'!Z30</f>
        <v>600</v>
      </c>
      <c r="H56" s="32" t="n">
        <f aca="false">'Model inputs'!H21*'Model inputs'!Z40*'Model inputs'!Z30</f>
        <v>780</v>
      </c>
      <c r="I56" s="32" t="n">
        <f aca="false">'Model inputs'!I21*'Model inputs'!Z40*'Model inputs'!Z30</f>
        <v>960</v>
      </c>
      <c r="J56" s="32" t="n">
        <f aca="false">'Model inputs'!J21*'Model inputs'!Z40*'Model inputs'!Z30</f>
        <v>1140</v>
      </c>
      <c r="K56" s="32" t="n">
        <f aca="false">'Model inputs'!K21*'Model inputs'!Z40*'Model inputs'!Z30</f>
        <v>1200</v>
      </c>
      <c r="L56" s="32" t="n">
        <f aca="false">'Model inputs'!L21*'Model inputs'!Z40*'Model inputs'!Z30</f>
        <v>1200</v>
      </c>
      <c r="M56" s="32" t="n">
        <f aca="false">'Model inputs'!M21*'Model inputs'!Z40*'Model inputs'!Z30</f>
        <v>1200</v>
      </c>
      <c r="N56" s="32" t="n">
        <f aca="false">'Model inputs'!N21*'Model inputs'!Z40*'Model inputs'!Z30</f>
        <v>1200</v>
      </c>
      <c r="O56" s="32" t="n">
        <v>0</v>
      </c>
      <c r="P56" s="32" t="n">
        <v>0</v>
      </c>
      <c r="Q56" s="32" t="n">
        <v>0</v>
      </c>
      <c r="R56" s="32" t="n">
        <v>0</v>
      </c>
      <c r="S56" s="32" t="n">
        <v>0</v>
      </c>
      <c r="T56" s="32" t="n">
        <v>0</v>
      </c>
      <c r="U56" s="32" t="n">
        <v>0</v>
      </c>
      <c r="V56" s="32" t="n">
        <v>0</v>
      </c>
      <c r="W56" s="32" t="n">
        <v>0</v>
      </c>
      <c r="X56" s="32" t="n">
        <f aca="false">'Model inputs'!X21*'Model inputs'!Z40*'Model inputs'!Z30</f>
        <v>0</v>
      </c>
      <c r="Y56" s="32" t="n">
        <f aca="false">'Model inputs'!Y21*'Model inputs'!Z40*'Model inputs'!Z30</f>
        <v>0</v>
      </c>
    </row>
    <row r="57" customFormat="false" ht="18" hidden="false" customHeight="false" outlineLevel="0" collapsed="false">
      <c r="A57" s="41" t="s">
        <v>235</v>
      </c>
      <c r="B57" s="32" t="n">
        <f aca="false">'Model inputs'!B22*'Model inputs'!AA99*'Model inputs'!AA85</f>
        <v>0</v>
      </c>
      <c r="C57" s="32" t="n">
        <f aca="false">'Model inputs'!C22*'Model inputs'!AA99*'Model inputs'!AA85</f>
        <v>30</v>
      </c>
      <c r="D57" s="32" t="n">
        <f aca="false">'Model inputs'!D22*'Model inputs'!AA99*'Model inputs'!AA85</f>
        <v>120</v>
      </c>
      <c r="E57" s="32" t="n">
        <f aca="false">'Model inputs'!E22*'Model inputs'!AA99*'Model inputs'!AA85</f>
        <v>270</v>
      </c>
      <c r="F57" s="32" t="n">
        <f aca="false">'Model inputs'!F22*'Model inputs'!AA99*'Model inputs'!AA85</f>
        <v>420</v>
      </c>
      <c r="G57" s="32" t="n">
        <f aca="false">'Model inputs'!G22*'Model inputs'!AA99*'Model inputs'!AA85</f>
        <v>600</v>
      </c>
      <c r="H57" s="32" t="n">
        <f aca="false">'Model inputs'!H22*'Model inputs'!AA99*'Model inputs'!AA85</f>
        <v>780</v>
      </c>
      <c r="I57" s="32" t="n">
        <f aca="false">'Model inputs'!I22*'Model inputs'!AA99*'Model inputs'!AA85</f>
        <v>960</v>
      </c>
      <c r="J57" s="32" t="n">
        <f aca="false">'Model inputs'!J22*'Model inputs'!AA99*'Model inputs'!AA85</f>
        <v>1140</v>
      </c>
      <c r="K57" s="32" t="n">
        <f aca="false">'Model inputs'!K22*'Model inputs'!AA99*'Model inputs'!AA85</f>
        <v>1200</v>
      </c>
      <c r="L57" s="32" t="n">
        <f aca="false">'Model inputs'!L22*'Model inputs'!AA99*'Model inputs'!AA85</f>
        <v>1200</v>
      </c>
      <c r="M57" s="32" t="n">
        <f aca="false">'Model inputs'!M22*'Model inputs'!AA99*'Model inputs'!AA85</f>
        <v>1200</v>
      </c>
      <c r="N57" s="32" t="n">
        <f aca="false">'Model inputs'!N22*'Model inputs'!AA99*'Model inputs'!AA85</f>
        <v>1200</v>
      </c>
      <c r="O57" s="32" t="n">
        <v>0</v>
      </c>
      <c r="P57" s="32" t="n">
        <v>0</v>
      </c>
      <c r="Q57" s="32" t="n">
        <v>0</v>
      </c>
      <c r="R57" s="32" t="n">
        <v>0</v>
      </c>
      <c r="S57" s="32" t="n">
        <v>0</v>
      </c>
      <c r="T57" s="32" t="n">
        <v>0</v>
      </c>
      <c r="U57" s="32" t="n">
        <v>0</v>
      </c>
      <c r="V57" s="32" t="n">
        <v>0</v>
      </c>
      <c r="W57" s="32" t="n">
        <v>0</v>
      </c>
      <c r="X57" s="32" t="n">
        <f aca="false">'Model inputs'!X22*'Model inputs'!AA99*'Model inputs'!AA85</f>
        <v>0</v>
      </c>
      <c r="Y57" s="32" t="n">
        <f aca="false">'Model inputs'!Y22*'Model inputs'!AA99*'Model inputs'!AA85</f>
        <v>0</v>
      </c>
    </row>
    <row r="58" customFormat="false" ht="18" hidden="false" customHeight="false" outlineLevel="0" collapsed="false">
      <c r="A58" s="41" t="s">
        <v>236</v>
      </c>
      <c r="B58" s="32" t="n">
        <f aca="false">'Model inputs'!B23*'Model inputs'!AA100*'Model inputs'!AA86</f>
        <v>0</v>
      </c>
      <c r="C58" s="32" t="n">
        <f aca="false">'Model inputs'!C23*'Model inputs'!AA100*'Model inputs'!AA86</f>
        <v>30</v>
      </c>
      <c r="D58" s="32" t="n">
        <f aca="false">'Model inputs'!D23*'Model inputs'!AA100*'Model inputs'!AA86</f>
        <v>120</v>
      </c>
      <c r="E58" s="32" t="n">
        <f aca="false">'Model inputs'!E23*'Model inputs'!AA100*'Model inputs'!AA86</f>
        <v>270</v>
      </c>
      <c r="F58" s="32" t="n">
        <f aca="false">'Model inputs'!F23*'Model inputs'!AA100*'Model inputs'!AA86</f>
        <v>420</v>
      </c>
      <c r="G58" s="32" t="n">
        <f aca="false">'Model inputs'!G23*'Model inputs'!AA100*'Model inputs'!AA86</f>
        <v>600</v>
      </c>
      <c r="H58" s="32" t="n">
        <f aca="false">'Model inputs'!H23*'Model inputs'!AA100*'Model inputs'!AA86</f>
        <v>780</v>
      </c>
      <c r="I58" s="32" t="n">
        <f aca="false">'Model inputs'!I23*'Model inputs'!AA100*'Model inputs'!AA86</f>
        <v>960</v>
      </c>
      <c r="J58" s="32" t="n">
        <f aca="false">'Model inputs'!J23*'Model inputs'!AA100*'Model inputs'!AA86</f>
        <v>1140</v>
      </c>
      <c r="K58" s="32" t="n">
        <f aca="false">'Model inputs'!K23*'Model inputs'!AA100*'Model inputs'!AA86</f>
        <v>1200</v>
      </c>
      <c r="L58" s="32" t="n">
        <f aca="false">'Model inputs'!L23*'Model inputs'!AA100*'Model inputs'!AA86</f>
        <v>1200</v>
      </c>
      <c r="M58" s="32" t="n">
        <f aca="false">'Model inputs'!M23*'Model inputs'!AA100*'Model inputs'!AA86</f>
        <v>1200</v>
      </c>
      <c r="N58" s="32" t="n">
        <f aca="false">'Model inputs'!N23*'Model inputs'!AA100*'Model inputs'!AA86</f>
        <v>1200</v>
      </c>
      <c r="O58" s="32" t="n">
        <v>0</v>
      </c>
      <c r="P58" s="32" t="n">
        <v>0</v>
      </c>
      <c r="Q58" s="32" t="n">
        <v>0</v>
      </c>
      <c r="R58" s="32" t="n">
        <v>0</v>
      </c>
      <c r="S58" s="32" t="n">
        <v>0</v>
      </c>
      <c r="T58" s="32" t="n">
        <v>0</v>
      </c>
      <c r="U58" s="32" t="n">
        <v>0</v>
      </c>
      <c r="V58" s="32" t="n">
        <v>0</v>
      </c>
      <c r="W58" s="32" t="n">
        <v>0</v>
      </c>
      <c r="X58" s="32" t="n">
        <f aca="false">'Model inputs'!X23*'Model inputs'!AA100*'Model inputs'!AA86</f>
        <v>0</v>
      </c>
      <c r="Y58" s="32" t="n">
        <f aca="false">'Model inputs'!Y23*'Model inputs'!AA100*'Model inputs'!AA86</f>
        <v>0</v>
      </c>
    </row>
    <row r="59" customFormat="false" ht="18" hidden="false" customHeight="false" outlineLevel="0" collapsed="false">
      <c r="A59" s="41" t="s">
        <v>237</v>
      </c>
      <c r="B59" s="32" t="n">
        <f aca="false">'Model inputs'!B24*'Model inputs'!AA101*'Model inputs'!AA87</f>
        <v>0</v>
      </c>
      <c r="C59" s="32" t="n">
        <f aca="false">'Model inputs'!C24*'Model inputs'!AA101*'Model inputs'!AA87</f>
        <v>30</v>
      </c>
      <c r="D59" s="32" t="n">
        <f aca="false">'Model inputs'!D24*'Model inputs'!AA101*'Model inputs'!AA87</f>
        <v>120</v>
      </c>
      <c r="E59" s="32" t="n">
        <f aca="false">'Model inputs'!E24*'Model inputs'!AA101*'Model inputs'!AA87</f>
        <v>270</v>
      </c>
      <c r="F59" s="32" t="n">
        <f aca="false">'Model inputs'!F24*'Model inputs'!AA101*'Model inputs'!AA87</f>
        <v>420</v>
      </c>
      <c r="G59" s="32" t="n">
        <f aca="false">'Model inputs'!G24*'Model inputs'!AA101*'Model inputs'!AA87</f>
        <v>600</v>
      </c>
      <c r="H59" s="32" t="n">
        <f aca="false">'Model inputs'!H24*'Model inputs'!AA101*'Model inputs'!AA87</f>
        <v>780</v>
      </c>
      <c r="I59" s="32" t="n">
        <f aca="false">'Model inputs'!I24*'Model inputs'!AA101*'Model inputs'!AA87</f>
        <v>960</v>
      </c>
      <c r="J59" s="32" t="n">
        <f aca="false">'Model inputs'!J24*'Model inputs'!AA101*'Model inputs'!AA87</f>
        <v>1140</v>
      </c>
      <c r="K59" s="32" t="n">
        <f aca="false">'Model inputs'!K24*'Model inputs'!AA101*'Model inputs'!AA87</f>
        <v>1200</v>
      </c>
      <c r="L59" s="32" t="n">
        <f aca="false">'Model inputs'!L24*'Model inputs'!AA101*'Model inputs'!AA87</f>
        <v>1200</v>
      </c>
      <c r="M59" s="32" t="n">
        <f aca="false">'Model inputs'!M24*'Model inputs'!AA101*'Model inputs'!AA87</f>
        <v>1200</v>
      </c>
      <c r="N59" s="32" t="n">
        <f aca="false">'Model inputs'!N24*'Model inputs'!AA101*'Model inputs'!AA87</f>
        <v>1200</v>
      </c>
      <c r="O59" s="32" t="n">
        <v>0</v>
      </c>
      <c r="P59" s="32" t="n">
        <v>0</v>
      </c>
      <c r="Q59" s="32" t="n">
        <v>0</v>
      </c>
      <c r="R59" s="32" t="n">
        <v>0</v>
      </c>
      <c r="S59" s="32" t="n">
        <v>0</v>
      </c>
      <c r="T59" s="32" t="n">
        <v>0</v>
      </c>
      <c r="U59" s="32" t="n">
        <v>0</v>
      </c>
      <c r="V59" s="32" t="n">
        <v>0</v>
      </c>
      <c r="W59" s="32" t="n">
        <v>0</v>
      </c>
      <c r="X59" s="32" t="n">
        <f aca="false">'Model inputs'!X24*'Model inputs'!AA101*'Model inputs'!AA87</f>
        <v>0</v>
      </c>
      <c r="Y59" s="32" t="n">
        <f aca="false">'Model inputs'!Y24*'Model inputs'!AA101*'Model inputs'!AA87</f>
        <v>0</v>
      </c>
    </row>
    <row r="60" customFormat="false" ht="18" hidden="false" customHeight="false" outlineLevel="0" collapsed="false">
      <c r="A60" s="41" t="s">
        <v>238</v>
      </c>
      <c r="AA60" s="21" t="n">
        <f aca="false">'Base Projection Controls'!B5</f>
        <v>6000</v>
      </c>
    </row>
    <row r="61" customFormat="false" ht="18" hidden="false" customHeight="false" outlineLevel="0" collapsed="false">
      <c r="A61" s="41" t="s">
        <v>239</v>
      </c>
      <c r="Z61" s="21" t="n">
        <f aca="false">'Base Projection Controls'!B5</f>
        <v>6000</v>
      </c>
    </row>
    <row r="62" customFormat="false" ht="18" hidden="false" customHeight="false" outlineLevel="0" collapsed="false">
      <c r="A62" s="41" t="s">
        <v>240</v>
      </c>
      <c r="B62" s="32" t="n">
        <f aca="false">'Model inputs'!AA60/12</f>
        <v>500</v>
      </c>
      <c r="C62" s="32" t="n">
        <f aca="false">'Model inputs'!AA60/12</f>
        <v>500</v>
      </c>
      <c r="D62" s="32" t="n">
        <f aca="false">'Model inputs'!AA60/12</f>
        <v>500</v>
      </c>
      <c r="E62" s="32" t="n">
        <f aca="false">'Model inputs'!AA60/12</f>
        <v>500</v>
      </c>
      <c r="F62" s="32" t="n">
        <f aca="false">'Model inputs'!AA60/12</f>
        <v>500</v>
      </c>
      <c r="G62" s="32" t="n">
        <f aca="false">'Model inputs'!AA60/12</f>
        <v>500</v>
      </c>
      <c r="H62" s="32" t="n">
        <f aca="false">'Model inputs'!AA60/12</f>
        <v>500</v>
      </c>
      <c r="I62" s="32" t="n">
        <f aca="false">'Model inputs'!AA60/12</f>
        <v>500</v>
      </c>
      <c r="J62" s="32" t="n">
        <f aca="false">'Model inputs'!AA60/12</f>
        <v>500</v>
      </c>
      <c r="K62" s="32" t="n">
        <f aca="false">'Model inputs'!AA60/12</f>
        <v>500</v>
      </c>
      <c r="L62" s="32" t="n">
        <f aca="false">'Model inputs'!AA60/12</f>
        <v>500</v>
      </c>
      <c r="M62" s="32" t="n">
        <f aca="false">'Model inputs'!AA60/12</f>
        <v>500</v>
      </c>
      <c r="N62" s="32" t="n">
        <f aca="false">'Model inputs'!AA60/12</f>
        <v>500</v>
      </c>
      <c r="O62" s="32" t="n">
        <v>0</v>
      </c>
      <c r="P62" s="32" t="n">
        <v>0</v>
      </c>
      <c r="Q62" s="32" t="n">
        <v>0</v>
      </c>
      <c r="R62" s="32" t="n">
        <v>0</v>
      </c>
      <c r="S62" s="32" t="n">
        <v>0</v>
      </c>
      <c r="T62" s="32" t="n">
        <v>0</v>
      </c>
      <c r="U62" s="32" t="n">
        <v>0</v>
      </c>
      <c r="V62" s="32" t="n">
        <v>0</v>
      </c>
      <c r="W62" s="32" t="n">
        <v>0</v>
      </c>
      <c r="X62" s="32" t="n">
        <f aca="false">'Model inputs'!AA60/12</f>
        <v>500</v>
      </c>
      <c r="Y62" s="32" t="n">
        <f aca="false">'Model inputs'!AA60/12</f>
        <v>500</v>
      </c>
    </row>
    <row r="63" customFormat="false" ht="18" hidden="false" customHeight="false" outlineLevel="0" collapsed="false">
      <c r="A63" s="41" t="s">
        <v>241</v>
      </c>
      <c r="AA63" s="29" t="n">
        <f aca="false">DATE(2027,1,1)</f>
        <v>46388</v>
      </c>
    </row>
    <row r="64" customFormat="false" ht="18" hidden="false" customHeight="false" outlineLevel="0" collapsed="false">
      <c r="A64" s="41" t="s">
        <v>127</v>
      </c>
      <c r="B64" s="32" t="n">
        <f aca="false">IF(IF(IF(IF(ISERROR(DATE(2026,12,1)=DATE(YEAR('Model inputs'!AA63),MONTH('Model inputs'!AA63),1)),DATE(2026,12,1)=DATE(YEAR('Model inputs'!AA63),MONTH('Model inputs'!AA63),1),IF(DATE(YEAR('Model inputs'!AA63),MONTH('Model inputs'!AA63),1)="","",DATE(2026,12,1)=DATE(YEAR('Model inputs'!AA63),MONTH('Model inputs'!AA63),1)))="",FALSE(),IF(ISERROR(DATE(2026,12,1)=DATE(YEAR('Model inputs'!AA63),MONTH('Model inputs'!AA63),1)),DATE(2026,12,1)=DATE(YEAR('Model inputs'!AA63),MONTH('Model inputs'!AA63),1),IF(DATE(YEAR('Model inputs'!AA63),MONTH('Model inputs'!AA63),1)="","",DATE(2026,12,1)=DATE(YEAR('Model inputs'!AA63),MONTH('Model inputs'!AA63),1)))),0,IF('Model inputs'!Y64="","",'Model inputs'!Y64))="",0,IF(IF(IF(ISERROR(DATE(2026,12,1)=DATE(YEAR('Model inputs'!AA63),MONTH('Model inputs'!AA63),1)),DATE(2026,12,1)=DATE(YEAR('Model inputs'!AA63),MONTH('Model inputs'!AA63),1),IF(DATE(YEAR('Model inputs'!AA63),MONTH('Model inputs'!AA63),1)="","",DATE(2026,12,1)=DATE(YEAR('Model inputs'!AA63),MONTH('Model inputs'!AA63),1)))="",FALSE(),IF(ISERROR(DATE(2026,12,1)=DATE(YEAR('Model inputs'!AA63),MONTH('Model inputs'!AA63),1)),DATE(2026,12,1)=DATE(YEAR('Model inputs'!AA63),MONTH('Model inputs'!AA63),1),IF(DATE(YEAR('Model inputs'!AA63),MONTH('Model inputs'!AA63),1)="","",DATE(2026,12,1)=DATE(YEAR('Model inputs'!AA63),MONTH('Model inputs'!AA63),1)))),0,IF('Model inputs'!Y64="","",'Model inputs'!Y64)))+'Model inputs'!B41</f>
        <v>-1500</v>
      </c>
      <c r="C64" s="32" t="n">
        <f aca="false">IF(IF(IF(IF(ISERROR(DATE(2027,1,1)=DATE(YEAR('Model inputs'!AA63),MONTH('Model inputs'!AA63),1)),DATE(2027,1,1)=DATE(YEAR('Model inputs'!AA63),MONTH('Model inputs'!AA63),1),IF(DATE(YEAR('Model inputs'!AA63),MONTH('Model inputs'!AA63),1)="","",DATE(2027,1,1)=DATE(YEAR('Model inputs'!AA63),MONTH('Model inputs'!AA63),1)))="",FALSE(),IF(ISERROR(DATE(2027,1,1)=DATE(YEAR('Model inputs'!AA63),MONTH('Model inputs'!AA63),1)),DATE(2027,1,1)=DATE(YEAR('Model inputs'!AA63),MONTH('Model inputs'!AA63),1),IF(DATE(YEAR('Model inputs'!AA63),MONTH('Model inputs'!AA63),1)="","",DATE(2027,1,1)=DATE(YEAR('Model inputs'!AA63),MONTH('Model inputs'!AA63),1)))),0,IF('Model inputs'!B64="","",'Model inputs'!B64))="",0,IF(IF(IF(ISERROR(DATE(2027,1,1)=DATE(YEAR('Model inputs'!AA63),MONTH('Model inputs'!AA63),1)),DATE(2027,1,1)=DATE(YEAR('Model inputs'!AA63),MONTH('Model inputs'!AA63),1),IF(DATE(YEAR('Model inputs'!AA63),MONTH('Model inputs'!AA63),1)="","",DATE(2027,1,1)=DATE(YEAR('Model inputs'!AA63),MONTH('Model inputs'!AA63),1)))="",FALSE(),IF(ISERROR(DATE(2027,1,1)=DATE(YEAR('Model inputs'!AA63),MONTH('Model inputs'!AA63),1)),DATE(2027,1,1)=DATE(YEAR('Model inputs'!AA63),MONTH('Model inputs'!AA63),1),IF(DATE(YEAR('Model inputs'!AA63),MONTH('Model inputs'!AA63),1)="","",DATE(2027,1,1)=DATE(YEAR('Model inputs'!AA63),MONTH('Model inputs'!AA63),1)))),0,IF('Model inputs'!B64="","",'Model inputs'!B64)))+'Model inputs'!C41</f>
        <v>-431</v>
      </c>
      <c r="D64" s="32" t="n">
        <f aca="false">IF(IF(IF(IF(ISERROR(DATE(2027,2,1)=DATE(YEAR('Model inputs'!AA63),MONTH('Model inputs'!AA63),1)),DATE(2027,2,1)=DATE(YEAR('Model inputs'!AA63),MONTH('Model inputs'!AA63),1),IF(DATE(YEAR('Model inputs'!AA63),MONTH('Model inputs'!AA63),1)="","",DATE(2027,2,1)=DATE(YEAR('Model inputs'!AA63),MONTH('Model inputs'!AA63),1)))="",FALSE(),IF(ISERROR(DATE(2027,2,1)=DATE(YEAR('Model inputs'!AA63),MONTH('Model inputs'!AA63),1)),DATE(2027,2,1)=DATE(YEAR('Model inputs'!AA63),MONTH('Model inputs'!AA63),1),IF(DATE(YEAR('Model inputs'!AA63),MONTH('Model inputs'!AA63),1)="","",DATE(2027,2,1)=DATE(YEAR('Model inputs'!AA63),MONTH('Model inputs'!AA63),1)))),0,IF('Model inputs'!C64="","",'Model inputs'!C64))="",0,IF(IF(IF(ISERROR(DATE(2027,2,1)=DATE(YEAR('Model inputs'!AA63),MONTH('Model inputs'!AA63),1)),DATE(2027,2,1)=DATE(YEAR('Model inputs'!AA63),MONTH('Model inputs'!AA63),1),IF(DATE(YEAR('Model inputs'!AA63),MONTH('Model inputs'!AA63),1)="","",DATE(2027,2,1)=DATE(YEAR('Model inputs'!AA63),MONTH('Model inputs'!AA63),1)))="",FALSE(),IF(ISERROR(DATE(2027,2,1)=DATE(YEAR('Model inputs'!AA63),MONTH('Model inputs'!AA63),1)),DATE(2027,2,1)=DATE(YEAR('Model inputs'!AA63),MONTH('Model inputs'!AA63),1),IF(DATE(YEAR('Model inputs'!AA63),MONTH('Model inputs'!AA63),1)="","",DATE(2027,2,1)=DATE(YEAR('Model inputs'!AA63),MONTH('Model inputs'!AA63),1)))),0,IF('Model inputs'!C64="","",'Model inputs'!C64)))+'Model inputs'!D41</f>
        <v>-655</v>
      </c>
      <c r="E64" s="32" t="n">
        <f aca="false">IF(IF(IF(IF(ISERROR(DATE(2027,3,1)=DATE(YEAR('Model inputs'!AA63),MONTH('Model inputs'!AA63),1)),DATE(2027,3,1)=DATE(YEAR('Model inputs'!AA63),MONTH('Model inputs'!AA63),1),IF(DATE(YEAR('Model inputs'!AA63),MONTH('Model inputs'!AA63),1)="","",DATE(2027,3,1)=DATE(YEAR('Model inputs'!AA63),MONTH('Model inputs'!AA63),1)))="",FALSE(),IF(ISERROR(DATE(2027,3,1)=DATE(YEAR('Model inputs'!AA63),MONTH('Model inputs'!AA63),1)),DATE(2027,3,1)=DATE(YEAR('Model inputs'!AA63),MONTH('Model inputs'!AA63),1),IF(DATE(YEAR('Model inputs'!AA63),MONTH('Model inputs'!AA63),1)="","",DATE(2027,3,1)=DATE(YEAR('Model inputs'!AA63),MONTH('Model inputs'!AA63),1)))),0,IF('Model inputs'!D64="","",'Model inputs'!D64))="",0,IF(IF(IF(ISERROR(DATE(2027,3,1)=DATE(YEAR('Model inputs'!AA63),MONTH('Model inputs'!AA63),1)),DATE(2027,3,1)=DATE(YEAR('Model inputs'!AA63),MONTH('Model inputs'!AA63),1),IF(DATE(YEAR('Model inputs'!AA63),MONTH('Model inputs'!AA63),1)="","",DATE(2027,3,1)=DATE(YEAR('Model inputs'!AA63),MONTH('Model inputs'!AA63),1)))="",FALSE(),IF(ISERROR(DATE(2027,3,1)=DATE(YEAR('Model inputs'!AA63),MONTH('Model inputs'!AA63),1)),DATE(2027,3,1)=DATE(YEAR('Model inputs'!AA63),MONTH('Model inputs'!AA63),1),IF(DATE(YEAR('Model inputs'!AA63),MONTH('Model inputs'!AA63),1)="","",DATE(2027,3,1)=DATE(YEAR('Model inputs'!AA63),MONTH('Model inputs'!AA63),1)))),0,IF('Model inputs'!D64="","",'Model inputs'!D64)))+'Model inputs'!E41</f>
        <v>-534</v>
      </c>
      <c r="F64" s="32" t="n">
        <f aca="false">IF(IF(IF(IF(ISERROR(DATE(2027,4,1)=DATE(YEAR('Model inputs'!AA63),MONTH('Model inputs'!AA63),1)),DATE(2027,4,1)=DATE(YEAR('Model inputs'!AA63),MONTH('Model inputs'!AA63),1),IF(DATE(YEAR('Model inputs'!AA63),MONTH('Model inputs'!AA63),1)="","",DATE(2027,4,1)=DATE(YEAR('Model inputs'!AA63),MONTH('Model inputs'!AA63),1)))="",FALSE(),IF(ISERROR(DATE(2027,4,1)=DATE(YEAR('Model inputs'!AA63),MONTH('Model inputs'!AA63),1)),DATE(2027,4,1)=DATE(YEAR('Model inputs'!AA63),MONTH('Model inputs'!AA63),1),IF(DATE(YEAR('Model inputs'!AA63),MONTH('Model inputs'!AA63),1)="","",DATE(2027,4,1)=DATE(YEAR('Model inputs'!AA63),MONTH('Model inputs'!AA63),1)))),0,IF('Model inputs'!E64="","",'Model inputs'!E64))="",0,IF(IF(IF(ISERROR(DATE(2027,4,1)=DATE(YEAR('Model inputs'!AA63),MONTH('Model inputs'!AA63),1)),DATE(2027,4,1)=DATE(YEAR('Model inputs'!AA63),MONTH('Model inputs'!AA63),1),IF(DATE(YEAR('Model inputs'!AA63),MONTH('Model inputs'!AA63),1)="","",DATE(2027,4,1)=DATE(YEAR('Model inputs'!AA63),MONTH('Model inputs'!AA63),1)))="",FALSE(),IF(ISERROR(DATE(2027,4,1)=DATE(YEAR('Model inputs'!AA63),MONTH('Model inputs'!AA63),1)),DATE(2027,4,1)=DATE(YEAR('Model inputs'!AA63),MONTH('Model inputs'!AA63),1),IF(DATE(YEAR('Model inputs'!AA63),MONTH('Model inputs'!AA63),1)="","",DATE(2027,4,1)=DATE(YEAR('Model inputs'!AA63),MONTH('Model inputs'!AA63),1)))),0,IF('Model inputs'!E64="","",'Model inputs'!E64)))+'Model inputs'!F41</f>
        <v>-68</v>
      </c>
      <c r="G64" s="32" t="n">
        <f aca="false">IF(IF(IF(IF(ISERROR(DATE(2027,5,1)=DATE(YEAR('Model inputs'!AA63),MONTH('Model inputs'!AA63),1)),DATE(2027,5,1)=DATE(YEAR('Model inputs'!AA63),MONTH('Model inputs'!AA63),1),IF(DATE(YEAR('Model inputs'!AA63),MONTH('Model inputs'!AA63),1)="","",DATE(2027,5,1)=DATE(YEAR('Model inputs'!AA63),MONTH('Model inputs'!AA63),1)))="",FALSE(),IF(ISERROR(DATE(2027,5,1)=DATE(YEAR('Model inputs'!AA63),MONTH('Model inputs'!AA63),1)),DATE(2027,5,1)=DATE(YEAR('Model inputs'!AA63),MONTH('Model inputs'!AA63),1),IF(DATE(YEAR('Model inputs'!AA63),MONTH('Model inputs'!AA63),1)="","",DATE(2027,5,1)=DATE(YEAR('Model inputs'!AA63),MONTH('Model inputs'!AA63),1)))),0,IF('Model inputs'!F64="","",'Model inputs'!F64))="",0,IF(IF(IF(ISERROR(DATE(2027,5,1)=DATE(YEAR('Model inputs'!AA63),MONTH('Model inputs'!AA63),1)),DATE(2027,5,1)=DATE(YEAR('Model inputs'!AA63),MONTH('Model inputs'!AA63),1),IF(DATE(YEAR('Model inputs'!AA63),MONTH('Model inputs'!AA63),1)="","",DATE(2027,5,1)=DATE(YEAR('Model inputs'!AA63),MONTH('Model inputs'!AA63),1)))="",FALSE(),IF(ISERROR(DATE(2027,5,1)=DATE(YEAR('Model inputs'!AA63),MONTH('Model inputs'!AA63),1)),DATE(2027,5,1)=DATE(YEAR('Model inputs'!AA63),MONTH('Model inputs'!AA63),1),IF(DATE(YEAR('Model inputs'!AA63),MONTH('Model inputs'!AA63),1)="","",DATE(2027,5,1)=DATE(YEAR('Model inputs'!AA63),MONTH('Model inputs'!AA63),1)))),0,IF('Model inputs'!F64="","",'Model inputs'!F64)))+'Model inputs'!G41</f>
        <v>812</v>
      </c>
      <c r="H64" s="32" t="n">
        <f aca="false">IF(IF(IF(IF(ISERROR(DATE(2027,6,1)=DATE(YEAR('Model inputs'!AA63),MONTH('Model inputs'!AA63),1)),DATE(2027,6,1)=DATE(YEAR('Model inputs'!AA63),MONTH('Model inputs'!AA63),1),IF(DATE(YEAR('Model inputs'!AA63),MONTH('Model inputs'!AA63),1)="","",DATE(2027,6,1)=DATE(YEAR('Model inputs'!AA63),MONTH('Model inputs'!AA63),1)))="",FALSE(),IF(ISERROR(DATE(2027,6,1)=DATE(YEAR('Model inputs'!AA63),MONTH('Model inputs'!AA63),1)),DATE(2027,6,1)=DATE(YEAR('Model inputs'!AA63),MONTH('Model inputs'!AA63),1),IF(DATE(YEAR('Model inputs'!AA63),MONTH('Model inputs'!AA63),1)="","",DATE(2027,6,1)=DATE(YEAR('Model inputs'!AA63),MONTH('Model inputs'!AA63),1)))),0,IF('Model inputs'!G64="","",'Model inputs'!G64))="",0,IF(IF(IF(ISERROR(DATE(2027,6,1)=DATE(YEAR('Model inputs'!AA63),MONTH('Model inputs'!AA63),1)),DATE(2027,6,1)=DATE(YEAR('Model inputs'!AA63),MONTH('Model inputs'!AA63),1),IF(DATE(YEAR('Model inputs'!AA63),MONTH('Model inputs'!AA63),1)="","",DATE(2027,6,1)=DATE(YEAR('Model inputs'!AA63),MONTH('Model inputs'!AA63),1)))="",FALSE(),IF(ISERROR(DATE(2027,6,1)=DATE(YEAR('Model inputs'!AA63),MONTH('Model inputs'!AA63),1)),DATE(2027,6,1)=DATE(YEAR('Model inputs'!AA63),MONTH('Model inputs'!AA63),1),IF(DATE(YEAR('Model inputs'!AA63),MONTH('Model inputs'!AA63),1)="","",DATE(2027,6,1)=DATE(YEAR('Model inputs'!AA63),MONTH('Model inputs'!AA63),1)))),0,IF('Model inputs'!G64="","",'Model inputs'!G64)))+'Model inputs'!H41</f>
        <v>2106</v>
      </c>
      <c r="I64" s="32" t="n">
        <f aca="false">IF(IF(IF(IF(ISERROR(DATE(2027,7,1)=DATE(YEAR('Model inputs'!AA63),MONTH('Model inputs'!AA63),1)),DATE(2027,7,1)=DATE(YEAR('Model inputs'!AA63),MONTH('Model inputs'!AA63),1),IF(DATE(YEAR('Model inputs'!AA63),MONTH('Model inputs'!AA63),1)="","",DATE(2027,7,1)=DATE(YEAR('Model inputs'!AA63),MONTH('Model inputs'!AA63),1)))="",FALSE(),IF(ISERROR(DATE(2027,7,1)=DATE(YEAR('Model inputs'!AA63),MONTH('Model inputs'!AA63),1)),DATE(2027,7,1)=DATE(YEAR('Model inputs'!AA63),MONTH('Model inputs'!AA63),1),IF(DATE(YEAR('Model inputs'!AA63),MONTH('Model inputs'!AA63),1)="","",DATE(2027,7,1)=DATE(YEAR('Model inputs'!AA63),MONTH('Model inputs'!AA63),1)))),0,IF('Model inputs'!H64="","",'Model inputs'!H64))="",0,IF(IF(IF(ISERROR(DATE(2027,7,1)=DATE(YEAR('Model inputs'!AA63),MONTH('Model inputs'!AA63),1)),DATE(2027,7,1)=DATE(YEAR('Model inputs'!AA63),MONTH('Model inputs'!AA63),1),IF(DATE(YEAR('Model inputs'!AA63),MONTH('Model inputs'!AA63),1)="","",DATE(2027,7,1)=DATE(YEAR('Model inputs'!AA63),MONTH('Model inputs'!AA63),1)))="",FALSE(),IF(ISERROR(DATE(2027,7,1)=DATE(YEAR('Model inputs'!AA63),MONTH('Model inputs'!AA63),1)),DATE(2027,7,1)=DATE(YEAR('Model inputs'!AA63),MONTH('Model inputs'!AA63),1),IF(DATE(YEAR('Model inputs'!AA63),MONTH('Model inputs'!AA63),1)="","",DATE(2027,7,1)=DATE(YEAR('Model inputs'!AA63),MONTH('Model inputs'!AA63),1)))),0,IF('Model inputs'!H64="","",'Model inputs'!H64)))+'Model inputs'!I41</f>
        <v>3814</v>
      </c>
      <c r="J64" s="32" t="n">
        <f aca="false">IF(IF(IF(IF(ISERROR(DATE(2027,8,1)=DATE(YEAR('Model inputs'!AA63),MONTH('Model inputs'!AA63),1)),DATE(2027,8,1)=DATE(YEAR('Model inputs'!AA63),MONTH('Model inputs'!AA63),1),IF(DATE(YEAR('Model inputs'!AA63),MONTH('Model inputs'!AA63),1)="","",DATE(2027,8,1)=DATE(YEAR('Model inputs'!AA63),MONTH('Model inputs'!AA63),1)))="",FALSE(),IF(ISERROR(DATE(2027,8,1)=DATE(YEAR('Model inputs'!AA63),MONTH('Model inputs'!AA63),1)),DATE(2027,8,1)=DATE(YEAR('Model inputs'!AA63),MONTH('Model inputs'!AA63),1),IF(DATE(YEAR('Model inputs'!AA63),MONTH('Model inputs'!AA63),1)="","",DATE(2027,8,1)=DATE(YEAR('Model inputs'!AA63),MONTH('Model inputs'!AA63),1)))),0,IF('Model inputs'!I64="","",'Model inputs'!I64))="",0,IF(IF(IF(ISERROR(DATE(2027,8,1)=DATE(YEAR('Model inputs'!AA63),MONTH('Model inputs'!AA63),1)),DATE(2027,8,1)=DATE(YEAR('Model inputs'!AA63),MONTH('Model inputs'!AA63),1),IF(DATE(YEAR('Model inputs'!AA63),MONTH('Model inputs'!AA63),1)="","",DATE(2027,8,1)=DATE(YEAR('Model inputs'!AA63),MONTH('Model inputs'!AA63),1)))="",FALSE(),IF(ISERROR(DATE(2027,8,1)=DATE(YEAR('Model inputs'!AA63),MONTH('Model inputs'!AA63),1)),DATE(2027,8,1)=DATE(YEAR('Model inputs'!AA63),MONTH('Model inputs'!AA63),1),IF(DATE(YEAR('Model inputs'!AA63),MONTH('Model inputs'!AA63),1)="","",DATE(2027,8,1)=DATE(YEAR('Model inputs'!AA63),MONTH('Model inputs'!AA63),1)))),0,IF('Model inputs'!I64="","",'Model inputs'!I64)))+'Model inputs'!J41</f>
        <v>5936</v>
      </c>
      <c r="K64" s="32" t="n">
        <f aca="false">IF(IF(IF(IF(ISERROR(DATE(2027,9,1)=DATE(YEAR('Model inputs'!AA63),MONTH('Model inputs'!AA63),1)),DATE(2027,9,1)=DATE(YEAR('Model inputs'!AA63),MONTH('Model inputs'!AA63),1),IF(DATE(YEAR('Model inputs'!AA63),MONTH('Model inputs'!AA63),1)="","",DATE(2027,9,1)=DATE(YEAR('Model inputs'!AA63),MONTH('Model inputs'!AA63),1)))="",FALSE(),IF(ISERROR(DATE(2027,9,1)=DATE(YEAR('Model inputs'!AA63),MONTH('Model inputs'!AA63),1)),DATE(2027,9,1)=DATE(YEAR('Model inputs'!AA63),MONTH('Model inputs'!AA63),1),IF(DATE(YEAR('Model inputs'!AA63),MONTH('Model inputs'!AA63),1)="","",DATE(2027,9,1)=DATE(YEAR('Model inputs'!AA63),MONTH('Model inputs'!AA63),1)))),0,IF('Model inputs'!J64="","",'Model inputs'!J64))="",0,IF(IF(IF(ISERROR(DATE(2027,9,1)=DATE(YEAR('Model inputs'!AA63),MONTH('Model inputs'!AA63),1)),DATE(2027,9,1)=DATE(YEAR('Model inputs'!AA63),MONTH('Model inputs'!AA63),1),IF(DATE(YEAR('Model inputs'!AA63),MONTH('Model inputs'!AA63),1)="","",DATE(2027,9,1)=DATE(YEAR('Model inputs'!AA63),MONTH('Model inputs'!AA63),1)))="",FALSE(),IF(ISERROR(DATE(2027,9,1)=DATE(YEAR('Model inputs'!AA63),MONTH('Model inputs'!AA63),1)),DATE(2027,9,1)=DATE(YEAR('Model inputs'!AA63),MONTH('Model inputs'!AA63),1),IF(DATE(YEAR('Model inputs'!AA63),MONTH('Model inputs'!AA63),1)="","",DATE(2027,9,1)=DATE(YEAR('Model inputs'!AA63),MONTH('Model inputs'!AA63),1)))),0,IF('Model inputs'!J64="","",'Model inputs'!J64)))+'Model inputs'!K41</f>
        <v>8196</v>
      </c>
      <c r="L64" s="32" t="n">
        <f aca="false">IF(IF(IF(IF(ISERROR(DATE(2027,10,1)=DATE(YEAR('Model inputs'!AA63),MONTH('Model inputs'!AA63),1)),DATE(2027,10,1)=DATE(YEAR('Model inputs'!AA63),MONTH('Model inputs'!AA63),1),IF(DATE(YEAR('Model inputs'!AA63),MONTH('Model inputs'!AA63),1)="","",DATE(2027,10,1)=DATE(YEAR('Model inputs'!AA63),MONTH('Model inputs'!AA63),1)))="",FALSE(),IF(ISERROR(DATE(2027,10,1)=DATE(YEAR('Model inputs'!AA63),MONTH('Model inputs'!AA63),1)),DATE(2027,10,1)=DATE(YEAR('Model inputs'!AA63),MONTH('Model inputs'!AA63),1),IF(DATE(YEAR('Model inputs'!AA63),MONTH('Model inputs'!AA63),1)="","",DATE(2027,10,1)=DATE(YEAR('Model inputs'!AA63),MONTH('Model inputs'!AA63),1)))),0,IF('Model inputs'!K64="","",'Model inputs'!K64))="",0,IF(IF(IF(ISERROR(DATE(2027,10,1)=DATE(YEAR('Model inputs'!AA63),MONTH('Model inputs'!AA63),1)),DATE(2027,10,1)=DATE(YEAR('Model inputs'!AA63),MONTH('Model inputs'!AA63),1),IF(DATE(YEAR('Model inputs'!AA63),MONTH('Model inputs'!AA63),1)="","",DATE(2027,10,1)=DATE(YEAR('Model inputs'!AA63),MONTH('Model inputs'!AA63),1)))="",FALSE(),IF(ISERROR(DATE(2027,10,1)=DATE(YEAR('Model inputs'!AA63),MONTH('Model inputs'!AA63),1)),DATE(2027,10,1)=DATE(YEAR('Model inputs'!AA63),MONTH('Model inputs'!AA63),1),IF(DATE(YEAR('Model inputs'!AA63),MONTH('Model inputs'!AA63),1)="","",DATE(2027,10,1)=DATE(YEAR('Model inputs'!AA63),MONTH('Model inputs'!AA63),1)))),0,IF('Model inputs'!K64="","",'Model inputs'!K64)))+'Model inputs'!L41</f>
        <v>10456</v>
      </c>
      <c r="M64" s="32" t="n">
        <f aca="false">IF(IF(IF(IF(ISERROR(DATE(2027,11,1)=DATE(YEAR('Model inputs'!AA63),MONTH('Model inputs'!AA63),1)),DATE(2027,11,1)=DATE(YEAR('Model inputs'!AA63),MONTH('Model inputs'!AA63),1),IF(DATE(YEAR('Model inputs'!AA63),MONTH('Model inputs'!AA63),1)="","",DATE(2027,11,1)=DATE(YEAR('Model inputs'!AA63),MONTH('Model inputs'!AA63),1)))="",FALSE(),IF(ISERROR(DATE(2027,11,1)=DATE(YEAR('Model inputs'!AA63),MONTH('Model inputs'!AA63),1)),DATE(2027,11,1)=DATE(YEAR('Model inputs'!AA63),MONTH('Model inputs'!AA63),1),IF(DATE(YEAR('Model inputs'!AA63),MONTH('Model inputs'!AA63),1)="","",DATE(2027,11,1)=DATE(YEAR('Model inputs'!AA63),MONTH('Model inputs'!AA63),1)))),0,IF('Model inputs'!L64="","",'Model inputs'!L64))="",0,IF(IF(IF(ISERROR(DATE(2027,11,1)=DATE(YEAR('Model inputs'!AA63),MONTH('Model inputs'!AA63),1)),DATE(2027,11,1)=DATE(YEAR('Model inputs'!AA63),MONTH('Model inputs'!AA63),1),IF(DATE(YEAR('Model inputs'!AA63),MONTH('Model inputs'!AA63),1)="","",DATE(2027,11,1)=DATE(YEAR('Model inputs'!AA63),MONTH('Model inputs'!AA63),1)))="",FALSE(),IF(ISERROR(DATE(2027,11,1)=DATE(YEAR('Model inputs'!AA63),MONTH('Model inputs'!AA63),1)),DATE(2027,11,1)=DATE(YEAR('Model inputs'!AA63),MONTH('Model inputs'!AA63),1),IF(DATE(YEAR('Model inputs'!AA63),MONTH('Model inputs'!AA63),1)="","",DATE(2027,11,1)=DATE(YEAR('Model inputs'!AA63),MONTH('Model inputs'!AA63),1)))),0,IF('Model inputs'!L64="","",'Model inputs'!L64)))+'Model inputs'!M41</f>
        <v>12716</v>
      </c>
      <c r="N64" s="32" t="n">
        <f aca="false">IF(IF(IF(IF(ISERROR(DATE(2027,12,1)=DATE(YEAR('Model inputs'!AA63),MONTH('Model inputs'!AA63),1)),DATE(2027,12,1)=DATE(YEAR('Model inputs'!AA63),MONTH('Model inputs'!AA63),1),IF(DATE(YEAR('Model inputs'!AA63),MONTH('Model inputs'!AA63),1)="","",DATE(2027,12,1)=DATE(YEAR('Model inputs'!AA63),MONTH('Model inputs'!AA63),1)))="",FALSE(),IF(ISERROR(DATE(2027,12,1)=DATE(YEAR('Model inputs'!AA63),MONTH('Model inputs'!AA63),1)),DATE(2027,12,1)=DATE(YEAR('Model inputs'!AA63),MONTH('Model inputs'!AA63),1),IF(DATE(YEAR('Model inputs'!AA63),MONTH('Model inputs'!AA63),1)="","",DATE(2027,12,1)=DATE(YEAR('Model inputs'!AA63),MONTH('Model inputs'!AA63),1)))),0,IF('Model inputs'!M64="","",'Model inputs'!M64))="",0,IF(IF(IF(ISERROR(DATE(2027,12,1)=DATE(YEAR('Model inputs'!AA63),MONTH('Model inputs'!AA63),1)),DATE(2027,12,1)=DATE(YEAR('Model inputs'!AA63),MONTH('Model inputs'!AA63),1),IF(DATE(YEAR('Model inputs'!AA63),MONTH('Model inputs'!AA63),1)="","",DATE(2027,12,1)=DATE(YEAR('Model inputs'!AA63),MONTH('Model inputs'!AA63),1)))="",FALSE(),IF(ISERROR(DATE(2027,12,1)=DATE(YEAR('Model inputs'!AA63),MONTH('Model inputs'!AA63),1)),DATE(2027,12,1)=DATE(YEAR('Model inputs'!AA63),MONTH('Model inputs'!AA63),1),IF(DATE(YEAR('Model inputs'!AA63),MONTH('Model inputs'!AA63),1)="","",DATE(2027,12,1)=DATE(YEAR('Model inputs'!AA63),MONTH('Model inputs'!AA63),1)))),0,IF('Model inputs'!M64="","",'Model inputs'!M64)))+'Model inputs'!N41</f>
        <v>14976</v>
      </c>
      <c r="O64" s="32" t="n">
        <v>0</v>
      </c>
      <c r="P64" s="32" t="n">
        <v>0</v>
      </c>
      <c r="Q64" s="32" t="n">
        <v>0</v>
      </c>
      <c r="R64" s="32" t="n">
        <v>0</v>
      </c>
      <c r="S64" s="32" t="n">
        <v>0</v>
      </c>
      <c r="T64" s="32" t="n">
        <v>0</v>
      </c>
      <c r="U64" s="32" t="n">
        <v>0</v>
      </c>
      <c r="V64" s="32" t="n">
        <v>0</v>
      </c>
      <c r="W64" s="32" t="n">
        <v>0</v>
      </c>
      <c r="X64" s="32" t="n">
        <f aca="false">IF(IF(IF(IF(ISERROR(DATE(2026,10,1)=DATE(YEAR('Model inputs'!AA63),MONTH('Model inputs'!AA63),1)),DATE(2026,10,1)=DATE(YEAR('Model inputs'!AA63),MONTH('Model inputs'!AA63),1),IF(DATE(YEAR('Model inputs'!AA63),MONTH('Model inputs'!AA63),1)="","",DATE(2026,10,1)=DATE(YEAR('Model inputs'!AA63),MONTH('Model inputs'!AA63),1)))="",FALSE(),IF(ISERROR(DATE(2026,10,1)=DATE(YEAR('Model inputs'!AA63),MONTH('Model inputs'!AA63),1)),DATE(2026,10,1)=DATE(YEAR('Model inputs'!AA63),MONTH('Model inputs'!AA63),1),IF(DATE(YEAR('Model inputs'!AA63),MONTH('Model inputs'!AA63),1)="","",DATE(2026,10,1)=DATE(YEAR('Model inputs'!AA63),MONTH('Model inputs'!AA63),1)))),0,IF('Model inputs'!W64="","",'Model inputs'!W64))="",0,IF(IF(IF(ISERROR(DATE(2026,10,1)=DATE(YEAR('Model inputs'!AA63),MONTH('Model inputs'!AA63),1)),DATE(2026,10,1)=DATE(YEAR('Model inputs'!AA63),MONTH('Model inputs'!AA63),1),IF(DATE(YEAR('Model inputs'!AA63),MONTH('Model inputs'!AA63),1)="","",DATE(2026,10,1)=DATE(YEAR('Model inputs'!AA63),MONTH('Model inputs'!AA63),1)))="",FALSE(),IF(ISERROR(DATE(2026,10,1)=DATE(YEAR('Model inputs'!AA63),MONTH('Model inputs'!AA63),1)),DATE(2026,10,1)=DATE(YEAR('Model inputs'!AA63),MONTH('Model inputs'!AA63),1),IF(DATE(YEAR('Model inputs'!AA63),MONTH('Model inputs'!AA63),1)="","",DATE(2026,10,1)=DATE(YEAR('Model inputs'!AA63),MONTH('Model inputs'!AA63),1)))),0,IF('Model inputs'!W64="","",'Model inputs'!W64)))+'Model inputs'!X41</f>
        <v>-500</v>
      </c>
      <c r="Y64" s="32" t="n">
        <f aca="false">IF(IF(IF(IF(ISERROR(DATE(2026,11,1)=DATE(YEAR('Model inputs'!AA63),MONTH('Model inputs'!AA63),1)),DATE(2026,11,1)=DATE(YEAR('Model inputs'!AA63),MONTH('Model inputs'!AA63),1),IF(DATE(YEAR('Model inputs'!AA63),MONTH('Model inputs'!AA63),1)="","",DATE(2026,11,1)=DATE(YEAR('Model inputs'!AA63),MONTH('Model inputs'!AA63),1)))="",FALSE(),IF(ISERROR(DATE(2026,11,1)=DATE(YEAR('Model inputs'!AA63),MONTH('Model inputs'!AA63),1)),DATE(2026,11,1)=DATE(YEAR('Model inputs'!AA63),MONTH('Model inputs'!AA63),1),IF(DATE(YEAR('Model inputs'!AA63),MONTH('Model inputs'!AA63),1)="","",DATE(2026,11,1)=DATE(YEAR('Model inputs'!AA63),MONTH('Model inputs'!AA63),1)))),0,IF('Model inputs'!X64="","",'Model inputs'!X64))="",0,IF(IF(IF(ISERROR(DATE(2026,11,1)=DATE(YEAR('Model inputs'!AA63),MONTH('Model inputs'!AA63),1)),DATE(2026,11,1)=DATE(YEAR('Model inputs'!AA63),MONTH('Model inputs'!AA63),1),IF(DATE(YEAR('Model inputs'!AA63),MONTH('Model inputs'!AA63),1)="","",DATE(2026,11,1)=DATE(YEAR('Model inputs'!AA63),MONTH('Model inputs'!AA63),1)))="",FALSE(),IF(ISERROR(DATE(2026,11,1)=DATE(YEAR('Model inputs'!AA63),MONTH('Model inputs'!AA63),1)),DATE(2026,11,1)=DATE(YEAR('Model inputs'!AA63),MONTH('Model inputs'!AA63),1),IF(DATE(YEAR('Model inputs'!AA63),MONTH('Model inputs'!AA63),1)="","",DATE(2026,11,1)=DATE(YEAR('Model inputs'!AA63),MONTH('Model inputs'!AA63),1)))),0,IF('Model inputs'!X64="","",'Model inputs'!X64)))+'Model inputs'!Y41</f>
        <v>-1000</v>
      </c>
    </row>
    <row r="65" customFormat="false" ht="18" hidden="false" customHeight="false" outlineLevel="0" collapsed="false">
      <c r="A65" s="41" t="s">
        <v>242</v>
      </c>
      <c r="Z65" s="21" t="n">
        <f aca="false">99</f>
        <v>99</v>
      </c>
    </row>
    <row r="66" customFormat="false" ht="18" hidden="false" customHeight="false" outlineLevel="0" collapsed="false">
      <c r="A66" s="41" t="s">
        <v>243</v>
      </c>
      <c r="AA66" s="21" t="n">
        <f aca="false">99</f>
        <v>99</v>
      </c>
    </row>
    <row r="67" customFormat="false" ht="18" hidden="false" customHeight="false" outlineLevel="0" collapsed="false">
      <c r="A67" s="41" t="s">
        <v>244</v>
      </c>
      <c r="B67" s="32" t="n">
        <f aca="false">'Model inputs'!B16*'Model inputs'!Z65</f>
        <v>0</v>
      </c>
      <c r="C67" s="32" t="n">
        <f aca="false">'Model inputs'!C16*'Model inputs'!Z65</f>
        <v>99</v>
      </c>
      <c r="D67" s="32" t="n">
        <f aca="false">'Model inputs'!D16*'Model inputs'!Z65</f>
        <v>396</v>
      </c>
      <c r="E67" s="32" t="n">
        <f aca="false">'Model inputs'!E16*'Model inputs'!Z65</f>
        <v>891</v>
      </c>
      <c r="F67" s="32" t="n">
        <f aca="false">'Model inputs'!F16*'Model inputs'!Z65</f>
        <v>1386</v>
      </c>
      <c r="G67" s="32" t="n">
        <f aca="false">'Model inputs'!G16*'Model inputs'!Z65</f>
        <v>1980</v>
      </c>
      <c r="H67" s="32" t="n">
        <f aca="false">'Model inputs'!H16*'Model inputs'!Z65</f>
        <v>2574</v>
      </c>
      <c r="I67" s="32" t="n">
        <f aca="false">'Model inputs'!I16*'Model inputs'!Z65</f>
        <v>3168</v>
      </c>
      <c r="J67" s="32" t="n">
        <f aca="false">'Model inputs'!J16*'Model inputs'!Z65</f>
        <v>3762</v>
      </c>
      <c r="K67" s="32" t="n">
        <f aca="false">'Model inputs'!K16*'Model inputs'!Z65</f>
        <v>3960</v>
      </c>
      <c r="L67" s="32" t="n">
        <f aca="false">'Model inputs'!L16*'Model inputs'!Z65</f>
        <v>3960</v>
      </c>
      <c r="M67" s="32" t="n">
        <f aca="false">'Model inputs'!M16*'Model inputs'!Z65</f>
        <v>3960</v>
      </c>
      <c r="N67" s="32" t="n">
        <f aca="false">'Model inputs'!N16*'Model inputs'!Z65</f>
        <v>3960</v>
      </c>
      <c r="O67" s="32" t="n">
        <v>0</v>
      </c>
      <c r="P67" s="32" t="n">
        <v>0</v>
      </c>
      <c r="Q67" s="32" t="n">
        <v>0</v>
      </c>
      <c r="R67" s="32" t="n">
        <v>0</v>
      </c>
      <c r="S67" s="32" t="n">
        <v>0</v>
      </c>
      <c r="T67" s="32" t="n">
        <v>0</v>
      </c>
      <c r="U67" s="32" t="n">
        <v>0</v>
      </c>
      <c r="V67" s="32" t="n">
        <v>0</v>
      </c>
      <c r="W67" s="32" t="n">
        <v>0</v>
      </c>
      <c r="X67" s="32" t="n">
        <f aca="false">'Model inputs'!X16*'Model inputs'!Z65</f>
        <v>0</v>
      </c>
      <c r="Y67" s="32" t="n">
        <f aca="false">'Model inputs'!Y16*'Model inputs'!Z65</f>
        <v>0</v>
      </c>
    </row>
    <row r="68" customFormat="false" ht="18" hidden="false" customHeight="false" outlineLevel="0" collapsed="false">
      <c r="A68" s="41" t="s">
        <v>245</v>
      </c>
      <c r="B68" s="32" t="n">
        <f aca="false">'Model inputs'!B17*'Price &amp; Fixed Cost Sensitivity'!G5</f>
        <v>0</v>
      </c>
      <c r="C68" s="32" t="n">
        <f aca="false">'Model inputs'!C17*'Price &amp; Fixed Cost Sensitivity'!G5</f>
        <v>109</v>
      </c>
      <c r="D68" s="32" t="n">
        <f aca="false">'Model inputs'!D17*'Price &amp; Fixed Cost Sensitivity'!G5</f>
        <v>436</v>
      </c>
      <c r="E68" s="32" t="n">
        <f aca="false">'Model inputs'!E17*'Price &amp; Fixed Cost Sensitivity'!G5</f>
        <v>981</v>
      </c>
      <c r="F68" s="32" t="n">
        <f aca="false">'Model inputs'!F17*'Price &amp; Fixed Cost Sensitivity'!G5</f>
        <v>1526</v>
      </c>
      <c r="G68" s="32" t="n">
        <f aca="false">'Model inputs'!G17*'Price &amp; Fixed Cost Sensitivity'!G5</f>
        <v>2180</v>
      </c>
      <c r="H68" s="32" t="n">
        <f aca="false">'Model inputs'!H17*'Price &amp; Fixed Cost Sensitivity'!G5</f>
        <v>2834</v>
      </c>
      <c r="I68" s="32" t="n">
        <f aca="false">'Model inputs'!I17*'Price &amp; Fixed Cost Sensitivity'!G5</f>
        <v>3488</v>
      </c>
      <c r="J68" s="32" t="n">
        <f aca="false">'Model inputs'!J17*'Price &amp; Fixed Cost Sensitivity'!G5</f>
        <v>4142</v>
      </c>
      <c r="K68" s="32" t="n">
        <f aca="false">'Model inputs'!K17*'Price &amp; Fixed Cost Sensitivity'!G5</f>
        <v>4360</v>
      </c>
      <c r="L68" s="32" t="n">
        <f aca="false">'Model inputs'!L17*'Price &amp; Fixed Cost Sensitivity'!G5</f>
        <v>4360</v>
      </c>
      <c r="M68" s="32" t="n">
        <f aca="false">'Model inputs'!M17*'Price &amp; Fixed Cost Sensitivity'!G5</f>
        <v>4360</v>
      </c>
      <c r="N68" s="32" t="n">
        <f aca="false">'Model inputs'!N17*'Price &amp; Fixed Cost Sensitivity'!G5</f>
        <v>4360</v>
      </c>
      <c r="O68" s="32" t="n">
        <v>0</v>
      </c>
      <c r="P68" s="32" t="n">
        <v>0</v>
      </c>
      <c r="Q68" s="32" t="n">
        <v>0</v>
      </c>
      <c r="R68" s="32" t="n">
        <v>0</v>
      </c>
      <c r="S68" s="32" t="n">
        <v>0</v>
      </c>
      <c r="T68" s="32" t="n">
        <v>0</v>
      </c>
      <c r="U68" s="32" t="n">
        <v>0</v>
      </c>
      <c r="V68" s="32" t="n">
        <v>0</v>
      </c>
      <c r="W68" s="32" t="n">
        <v>0</v>
      </c>
      <c r="X68" s="32" t="n">
        <f aca="false">'Model inputs'!X17*'Price &amp; Fixed Cost Sensitivity'!G5</f>
        <v>0</v>
      </c>
      <c r="Y68" s="32" t="n">
        <f aca="false">'Model inputs'!Y17*'Price &amp; Fixed Cost Sensitivity'!G5</f>
        <v>0</v>
      </c>
    </row>
    <row r="69" customFormat="false" ht="18" hidden="false" customHeight="false" outlineLevel="0" collapsed="false">
      <c r="A69" s="41" t="s">
        <v>246</v>
      </c>
      <c r="B69" s="32" t="n">
        <f aca="false">'Model inputs'!B18*'Model inputs'!AA125</f>
        <v>0</v>
      </c>
      <c r="C69" s="32" t="n">
        <f aca="false">'Model inputs'!C18*'Model inputs'!AA125</f>
        <v>99</v>
      </c>
      <c r="D69" s="32" t="n">
        <f aca="false">'Model inputs'!D18*'Model inputs'!AA125</f>
        <v>396</v>
      </c>
      <c r="E69" s="32" t="n">
        <f aca="false">'Model inputs'!E18*'Model inputs'!AA125</f>
        <v>891</v>
      </c>
      <c r="F69" s="32" t="n">
        <f aca="false">'Model inputs'!F18*'Model inputs'!AA125</f>
        <v>1386</v>
      </c>
      <c r="G69" s="32" t="n">
        <f aca="false">'Model inputs'!G18*'Model inputs'!AA125</f>
        <v>1980</v>
      </c>
      <c r="H69" s="32" t="n">
        <f aca="false">'Model inputs'!H18*'Model inputs'!AA125</f>
        <v>2574</v>
      </c>
      <c r="I69" s="32" t="n">
        <f aca="false">'Model inputs'!I18*'Model inputs'!AA125</f>
        <v>3168</v>
      </c>
      <c r="J69" s="32" t="n">
        <f aca="false">'Model inputs'!J18*'Model inputs'!AA125</f>
        <v>3762</v>
      </c>
      <c r="K69" s="32" t="n">
        <f aca="false">'Model inputs'!K18*'Model inputs'!AA125</f>
        <v>3960</v>
      </c>
      <c r="L69" s="32" t="n">
        <f aca="false">'Model inputs'!L18*'Model inputs'!AA125</f>
        <v>3960</v>
      </c>
      <c r="M69" s="32" t="n">
        <f aca="false">'Model inputs'!M18*'Model inputs'!AA125</f>
        <v>3960</v>
      </c>
      <c r="N69" s="32" t="n">
        <f aca="false">'Model inputs'!N18*'Model inputs'!AA125</f>
        <v>3960</v>
      </c>
      <c r="O69" s="32" t="n">
        <v>0</v>
      </c>
      <c r="P69" s="32" t="n">
        <v>0</v>
      </c>
      <c r="Q69" s="32" t="n">
        <v>0</v>
      </c>
      <c r="R69" s="32" t="n">
        <v>0</v>
      </c>
      <c r="S69" s="32" t="n">
        <v>0</v>
      </c>
      <c r="T69" s="32" t="n">
        <v>0</v>
      </c>
      <c r="U69" s="32" t="n">
        <v>0</v>
      </c>
      <c r="V69" s="32" t="n">
        <v>0</v>
      </c>
      <c r="W69" s="32" t="n">
        <v>0</v>
      </c>
      <c r="X69" s="32" t="n">
        <f aca="false">'Model inputs'!X18*'Model inputs'!AA125</f>
        <v>0</v>
      </c>
      <c r="Y69" s="32" t="n">
        <f aca="false">'Model inputs'!Y18*'Model inputs'!AA125</f>
        <v>0</v>
      </c>
    </row>
    <row r="70" customFormat="false" ht="18" hidden="false" customHeight="false" outlineLevel="0" collapsed="false">
      <c r="A70" s="41" t="s">
        <v>247</v>
      </c>
      <c r="B70" s="32" t="n">
        <f aca="false">'Model inputs'!B19*'Price &amp; Fixed Cost Sensitivity'!F5</f>
        <v>0</v>
      </c>
      <c r="C70" s="32" t="n">
        <f aca="false">'Model inputs'!C19*'Price &amp; Fixed Cost Sensitivity'!F5</f>
        <v>109</v>
      </c>
      <c r="D70" s="32" t="n">
        <f aca="false">'Model inputs'!D19*'Price &amp; Fixed Cost Sensitivity'!F5</f>
        <v>436</v>
      </c>
      <c r="E70" s="32" t="n">
        <f aca="false">'Model inputs'!E19*'Price &amp; Fixed Cost Sensitivity'!F5</f>
        <v>981</v>
      </c>
      <c r="F70" s="32" t="n">
        <f aca="false">'Model inputs'!F19*'Price &amp; Fixed Cost Sensitivity'!F5</f>
        <v>1526</v>
      </c>
      <c r="G70" s="32" t="n">
        <f aca="false">'Model inputs'!G19*'Price &amp; Fixed Cost Sensitivity'!F5</f>
        <v>2180</v>
      </c>
      <c r="H70" s="32" t="n">
        <f aca="false">'Model inputs'!H19*'Price &amp; Fixed Cost Sensitivity'!F5</f>
        <v>2834</v>
      </c>
      <c r="I70" s="32" t="n">
        <f aca="false">'Model inputs'!I19*'Price &amp; Fixed Cost Sensitivity'!F5</f>
        <v>3488</v>
      </c>
      <c r="J70" s="32" t="n">
        <f aca="false">'Model inputs'!J19*'Price &amp; Fixed Cost Sensitivity'!F5</f>
        <v>4142</v>
      </c>
      <c r="K70" s="32" t="n">
        <f aca="false">'Model inputs'!K19*'Price &amp; Fixed Cost Sensitivity'!F5</f>
        <v>4360</v>
      </c>
      <c r="L70" s="32" t="n">
        <f aca="false">'Model inputs'!L19*'Price &amp; Fixed Cost Sensitivity'!F5</f>
        <v>4360</v>
      </c>
      <c r="M70" s="32" t="n">
        <f aca="false">'Model inputs'!M19*'Price &amp; Fixed Cost Sensitivity'!F5</f>
        <v>4360</v>
      </c>
      <c r="N70" s="32" t="n">
        <f aca="false">'Model inputs'!N19*'Price &amp; Fixed Cost Sensitivity'!F5</f>
        <v>4360</v>
      </c>
      <c r="O70" s="32" t="n">
        <v>0</v>
      </c>
      <c r="P70" s="32" t="n">
        <v>0</v>
      </c>
      <c r="Q70" s="32" t="n">
        <v>0</v>
      </c>
      <c r="R70" s="32" t="n">
        <v>0</v>
      </c>
      <c r="S70" s="32" t="n">
        <v>0</v>
      </c>
      <c r="T70" s="32" t="n">
        <v>0</v>
      </c>
      <c r="U70" s="32" t="n">
        <v>0</v>
      </c>
      <c r="V70" s="32" t="n">
        <v>0</v>
      </c>
      <c r="W70" s="32" t="n">
        <v>0</v>
      </c>
      <c r="X70" s="32" t="n">
        <f aca="false">'Model inputs'!X19*'Price &amp; Fixed Cost Sensitivity'!F5</f>
        <v>0</v>
      </c>
      <c r="Y70" s="32" t="n">
        <f aca="false">'Model inputs'!Y19*'Price &amp; Fixed Cost Sensitivity'!F5</f>
        <v>0</v>
      </c>
    </row>
    <row r="71" customFormat="false" ht="18" hidden="false" customHeight="false" outlineLevel="0" collapsed="false">
      <c r="A71" s="41" t="s">
        <v>248</v>
      </c>
      <c r="B71" s="32" t="n">
        <f aca="false">'Model inputs'!B20*'Model inputs'!AA126</f>
        <v>0</v>
      </c>
      <c r="C71" s="32" t="n">
        <f aca="false">'Model inputs'!C20*'Model inputs'!AA126</f>
        <v>99</v>
      </c>
      <c r="D71" s="32" t="n">
        <f aca="false">'Model inputs'!D20*'Model inputs'!AA126</f>
        <v>396</v>
      </c>
      <c r="E71" s="32" t="n">
        <f aca="false">'Model inputs'!E20*'Model inputs'!AA126</f>
        <v>891</v>
      </c>
      <c r="F71" s="32" t="n">
        <f aca="false">'Model inputs'!F20*'Model inputs'!AA126</f>
        <v>1386</v>
      </c>
      <c r="G71" s="32" t="n">
        <f aca="false">'Model inputs'!G20*'Model inputs'!AA126</f>
        <v>1980</v>
      </c>
      <c r="H71" s="32" t="n">
        <f aca="false">'Model inputs'!H20*'Model inputs'!AA126</f>
        <v>2574</v>
      </c>
      <c r="I71" s="32" t="n">
        <f aca="false">'Model inputs'!I20*'Model inputs'!AA126</f>
        <v>3168</v>
      </c>
      <c r="J71" s="32" t="n">
        <f aca="false">'Model inputs'!J20*'Model inputs'!AA126</f>
        <v>3762</v>
      </c>
      <c r="K71" s="32" t="n">
        <f aca="false">'Model inputs'!K20*'Model inputs'!AA126</f>
        <v>3960</v>
      </c>
      <c r="L71" s="32" t="n">
        <f aca="false">'Model inputs'!L20*'Model inputs'!AA126</f>
        <v>3960</v>
      </c>
      <c r="M71" s="32" t="n">
        <f aca="false">'Model inputs'!M20*'Model inputs'!AA126</f>
        <v>3960</v>
      </c>
      <c r="N71" s="32" t="n">
        <f aca="false">'Model inputs'!N20*'Model inputs'!AA126</f>
        <v>3960</v>
      </c>
      <c r="O71" s="32" t="n">
        <v>0</v>
      </c>
      <c r="P71" s="32" t="n">
        <v>0</v>
      </c>
      <c r="Q71" s="32" t="n">
        <v>0</v>
      </c>
      <c r="R71" s="32" t="n">
        <v>0</v>
      </c>
      <c r="S71" s="32" t="n">
        <v>0</v>
      </c>
      <c r="T71" s="32" t="n">
        <v>0</v>
      </c>
      <c r="U71" s="32" t="n">
        <v>0</v>
      </c>
      <c r="V71" s="32" t="n">
        <v>0</v>
      </c>
      <c r="W71" s="32" t="n">
        <v>0</v>
      </c>
      <c r="X71" s="32" t="n">
        <f aca="false">'Model inputs'!X20*'Model inputs'!AA126</f>
        <v>0</v>
      </c>
      <c r="Y71" s="32" t="n">
        <f aca="false">'Model inputs'!Y20*'Model inputs'!AA126</f>
        <v>0</v>
      </c>
    </row>
    <row r="72" customFormat="false" ht="18" hidden="false" customHeight="false" outlineLevel="0" collapsed="false">
      <c r="A72" s="41" t="s">
        <v>249</v>
      </c>
      <c r="B72" s="32" t="n">
        <f aca="false">'Model inputs'!B21*'Price &amp; Fixed Cost Sensitivity'!J5</f>
        <v>0</v>
      </c>
      <c r="C72" s="32" t="n">
        <f aca="false">'Model inputs'!C21*'Price &amp; Fixed Cost Sensitivity'!J5</f>
        <v>119</v>
      </c>
      <c r="D72" s="32" t="n">
        <f aca="false">'Model inputs'!D21*'Price &amp; Fixed Cost Sensitivity'!J5</f>
        <v>476</v>
      </c>
      <c r="E72" s="32" t="n">
        <f aca="false">'Model inputs'!E21*'Price &amp; Fixed Cost Sensitivity'!J5</f>
        <v>1071</v>
      </c>
      <c r="F72" s="32" t="n">
        <f aca="false">'Model inputs'!F21*'Price &amp; Fixed Cost Sensitivity'!J5</f>
        <v>1666</v>
      </c>
      <c r="G72" s="32" t="n">
        <f aca="false">'Model inputs'!G21*'Price &amp; Fixed Cost Sensitivity'!J5</f>
        <v>2380</v>
      </c>
      <c r="H72" s="32" t="n">
        <f aca="false">'Model inputs'!H21*'Price &amp; Fixed Cost Sensitivity'!J5</f>
        <v>3094</v>
      </c>
      <c r="I72" s="32" t="n">
        <f aca="false">'Model inputs'!I21*'Price &amp; Fixed Cost Sensitivity'!J5</f>
        <v>3808</v>
      </c>
      <c r="J72" s="32" t="n">
        <f aca="false">'Model inputs'!J21*'Price &amp; Fixed Cost Sensitivity'!J5</f>
        <v>4522</v>
      </c>
      <c r="K72" s="32" t="n">
        <f aca="false">'Model inputs'!K21*'Price &amp; Fixed Cost Sensitivity'!J5</f>
        <v>4760</v>
      </c>
      <c r="L72" s="32" t="n">
        <f aca="false">'Model inputs'!L21*'Price &amp; Fixed Cost Sensitivity'!J5</f>
        <v>4760</v>
      </c>
      <c r="M72" s="32" t="n">
        <f aca="false">'Model inputs'!M21*'Price &amp; Fixed Cost Sensitivity'!J5</f>
        <v>4760</v>
      </c>
      <c r="N72" s="32" t="n">
        <f aca="false">'Model inputs'!N21*'Price &amp; Fixed Cost Sensitivity'!J5</f>
        <v>4760</v>
      </c>
      <c r="O72" s="32" t="n">
        <v>0</v>
      </c>
      <c r="P72" s="32" t="n">
        <v>0</v>
      </c>
      <c r="Q72" s="32" t="n">
        <v>0</v>
      </c>
      <c r="R72" s="32" t="n">
        <v>0</v>
      </c>
      <c r="S72" s="32" t="n">
        <v>0</v>
      </c>
      <c r="T72" s="32" t="n">
        <v>0</v>
      </c>
      <c r="U72" s="32" t="n">
        <v>0</v>
      </c>
      <c r="V72" s="32" t="n">
        <v>0</v>
      </c>
      <c r="W72" s="32" t="n">
        <v>0</v>
      </c>
      <c r="X72" s="32" t="n">
        <f aca="false">'Model inputs'!X21*'Price &amp; Fixed Cost Sensitivity'!J5</f>
        <v>0</v>
      </c>
      <c r="Y72" s="32" t="n">
        <f aca="false">'Model inputs'!Y21*'Price &amp; Fixed Cost Sensitivity'!J5</f>
        <v>0</v>
      </c>
    </row>
    <row r="73" customFormat="false" ht="18" hidden="false" customHeight="false" outlineLevel="0" collapsed="false">
      <c r="A73" s="41" t="s">
        <v>250</v>
      </c>
      <c r="B73" s="32" t="n">
        <f aca="false">'Model inputs'!B22*'Price &amp; Fixed Cost Sensitivity'!I5</f>
        <v>0</v>
      </c>
      <c r="C73" s="32" t="n">
        <f aca="false">'Model inputs'!C22*'Price &amp; Fixed Cost Sensitivity'!I5</f>
        <v>119</v>
      </c>
      <c r="D73" s="32" t="n">
        <f aca="false">'Model inputs'!D22*'Price &amp; Fixed Cost Sensitivity'!I5</f>
        <v>476</v>
      </c>
      <c r="E73" s="32" t="n">
        <f aca="false">'Model inputs'!E22*'Price &amp; Fixed Cost Sensitivity'!I5</f>
        <v>1071</v>
      </c>
      <c r="F73" s="32" t="n">
        <f aca="false">'Model inputs'!F22*'Price &amp; Fixed Cost Sensitivity'!I5</f>
        <v>1666</v>
      </c>
      <c r="G73" s="32" t="n">
        <f aca="false">'Model inputs'!G22*'Price &amp; Fixed Cost Sensitivity'!I5</f>
        <v>2380</v>
      </c>
      <c r="H73" s="32" t="n">
        <f aca="false">'Model inputs'!H22*'Price &amp; Fixed Cost Sensitivity'!I5</f>
        <v>3094</v>
      </c>
      <c r="I73" s="32" t="n">
        <f aca="false">'Model inputs'!I22*'Price &amp; Fixed Cost Sensitivity'!I5</f>
        <v>3808</v>
      </c>
      <c r="J73" s="32" t="n">
        <f aca="false">'Model inputs'!J22*'Price &amp; Fixed Cost Sensitivity'!I5</f>
        <v>4522</v>
      </c>
      <c r="K73" s="32" t="n">
        <f aca="false">'Model inputs'!K22*'Price &amp; Fixed Cost Sensitivity'!I5</f>
        <v>4760</v>
      </c>
      <c r="L73" s="32" t="n">
        <f aca="false">'Model inputs'!L22*'Price &amp; Fixed Cost Sensitivity'!I5</f>
        <v>4760</v>
      </c>
      <c r="M73" s="32" t="n">
        <f aca="false">'Model inputs'!M22*'Price &amp; Fixed Cost Sensitivity'!I5</f>
        <v>4760</v>
      </c>
      <c r="N73" s="32" t="n">
        <f aca="false">'Model inputs'!N22*'Price &amp; Fixed Cost Sensitivity'!I5</f>
        <v>4760</v>
      </c>
      <c r="O73" s="32" t="n">
        <v>0</v>
      </c>
      <c r="P73" s="32" t="n">
        <v>0</v>
      </c>
      <c r="Q73" s="32" t="n">
        <v>0</v>
      </c>
      <c r="R73" s="32" t="n">
        <v>0</v>
      </c>
      <c r="S73" s="32" t="n">
        <v>0</v>
      </c>
      <c r="T73" s="32" t="n">
        <v>0</v>
      </c>
      <c r="U73" s="32" t="n">
        <v>0</v>
      </c>
      <c r="V73" s="32" t="n">
        <v>0</v>
      </c>
      <c r="W73" s="32" t="n">
        <v>0</v>
      </c>
      <c r="X73" s="32" t="n">
        <f aca="false">'Model inputs'!X22*'Price &amp; Fixed Cost Sensitivity'!I5</f>
        <v>0</v>
      </c>
      <c r="Y73" s="32" t="n">
        <f aca="false">'Model inputs'!Y22*'Price &amp; Fixed Cost Sensitivity'!I5</f>
        <v>0</v>
      </c>
    </row>
    <row r="74" customFormat="false" ht="18" hidden="false" customHeight="false" outlineLevel="0" collapsed="false">
      <c r="A74" s="41" t="s">
        <v>251</v>
      </c>
      <c r="B74" s="32" t="n">
        <f aca="false">'Model inputs'!B23*'Price &amp; Fixed Cost Sensitivity'!E5</f>
        <v>0</v>
      </c>
      <c r="C74" s="32" t="n">
        <f aca="false">'Model inputs'!C23*'Price &amp; Fixed Cost Sensitivity'!E5</f>
        <v>109</v>
      </c>
      <c r="D74" s="32" t="n">
        <f aca="false">'Model inputs'!D23*'Price &amp; Fixed Cost Sensitivity'!E5</f>
        <v>436</v>
      </c>
      <c r="E74" s="32" t="n">
        <f aca="false">'Model inputs'!E23*'Price &amp; Fixed Cost Sensitivity'!E5</f>
        <v>981</v>
      </c>
      <c r="F74" s="32" t="n">
        <f aca="false">'Model inputs'!F23*'Price &amp; Fixed Cost Sensitivity'!E5</f>
        <v>1526</v>
      </c>
      <c r="G74" s="32" t="n">
        <f aca="false">'Model inputs'!G23*'Price &amp; Fixed Cost Sensitivity'!E5</f>
        <v>2180</v>
      </c>
      <c r="H74" s="32" t="n">
        <f aca="false">'Model inputs'!H23*'Price &amp; Fixed Cost Sensitivity'!E5</f>
        <v>2834</v>
      </c>
      <c r="I74" s="32" t="n">
        <f aca="false">'Model inputs'!I23*'Price &amp; Fixed Cost Sensitivity'!E5</f>
        <v>3488</v>
      </c>
      <c r="J74" s="32" t="n">
        <f aca="false">'Model inputs'!J23*'Price &amp; Fixed Cost Sensitivity'!E5</f>
        <v>4142</v>
      </c>
      <c r="K74" s="32" t="n">
        <f aca="false">'Model inputs'!K23*'Price &amp; Fixed Cost Sensitivity'!E5</f>
        <v>4360</v>
      </c>
      <c r="L74" s="32" t="n">
        <f aca="false">'Model inputs'!L23*'Price &amp; Fixed Cost Sensitivity'!E5</f>
        <v>4360</v>
      </c>
      <c r="M74" s="32" t="n">
        <f aca="false">'Model inputs'!M23*'Price &amp; Fixed Cost Sensitivity'!E5</f>
        <v>4360</v>
      </c>
      <c r="N74" s="32" t="n">
        <f aca="false">'Model inputs'!N23*'Price &amp; Fixed Cost Sensitivity'!E5</f>
        <v>4360</v>
      </c>
      <c r="O74" s="32" t="n">
        <v>0</v>
      </c>
      <c r="P74" s="32" t="n">
        <v>0</v>
      </c>
      <c r="Q74" s="32" t="n">
        <v>0</v>
      </c>
      <c r="R74" s="32" t="n">
        <v>0</v>
      </c>
      <c r="S74" s="32" t="n">
        <v>0</v>
      </c>
      <c r="T74" s="32" t="n">
        <v>0</v>
      </c>
      <c r="U74" s="32" t="n">
        <v>0</v>
      </c>
      <c r="V74" s="32" t="n">
        <v>0</v>
      </c>
      <c r="W74" s="32" t="n">
        <v>0</v>
      </c>
      <c r="X74" s="32" t="n">
        <f aca="false">'Model inputs'!X23*'Price &amp; Fixed Cost Sensitivity'!E5</f>
        <v>0</v>
      </c>
      <c r="Y74" s="32" t="n">
        <f aca="false">'Model inputs'!Y23*'Price &amp; Fixed Cost Sensitivity'!E5</f>
        <v>0</v>
      </c>
    </row>
    <row r="75" customFormat="false" ht="18" hidden="false" customHeight="false" outlineLevel="0" collapsed="false">
      <c r="A75" s="41" t="s">
        <v>252</v>
      </c>
      <c r="B75" s="32" t="n">
        <f aca="false">'Model inputs'!B24*'Price &amp; Fixed Cost Sensitivity'!H5</f>
        <v>0</v>
      </c>
      <c r="C75" s="32" t="n">
        <f aca="false">'Model inputs'!C24*'Price &amp; Fixed Cost Sensitivity'!H5</f>
        <v>119</v>
      </c>
      <c r="D75" s="32" t="n">
        <f aca="false">'Model inputs'!D24*'Price &amp; Fixed Cost Sensitivity'!H5</f>
        <v>476</v>
      </c>
      <c r="E75" s="32" t="n">
        <f aca="false">'Model inputs'!E24*'Price &amp; Fixed Cost Sensitivity'!H5</f>
        <v>1071</v>
      </c>
      <c r="F75" s="32" t="n">
        <f aca="false">'Model inputs'!F24*'Price &amp; Fixed Cost Sensitivity'!H5</f>
        <v>1666</v>
      </c>
      <c r="G75" s="32" t="n">
        <f aca="false">'Model inputs'!G24*'Price &amp; Fixed Cost Sensitivity'!H5</f>
        <v>2380</v>
      </c>
      <c r="H75" s="32" t="n">
        <f aca="false">'Model inputs'!H24*'Price &amp; Fixed Cost Sensitivity'!H5</f>
        <v>3094</v>
      </c>
      <c r="I75" s="32" t="n">
        <f aca="false">'Model inputs'!I24*'Price &amp; Fixed Cost Sensitivity'!H5</f>
        <v>3808</v>
      </c>
      <c r="J75" s="32" t="n">
        <f aca="false">'Model inputs'!J24*'Price &amp; Fixed Cost Sensitivity'!H5</f>
        <v>4522</v>
      </c>
      <c r="K75" s="32" t="n">
        <f aca="false">'Model inputs'!K24*'Price &amp; Fixed Cost Sensitivity'!H5</f>
        <v>4760</v>
      </c>
      <c r="L75" s="32" t="n">
        <f aca="false">'Model inputs'!L24*'Price &amp; Fixed Cost Sensitivity'!H5</f>
        <v>4760</v>
      </c>
      <c r="M75" s="32" t="n">
        <f aca="false">'Model inputs'!M24*'Price &amp; Fixed Cost Sensitivity'!H5</f>
        <v>4760</v>
      </c>
      <c r="N75" s="32" t="n">
        <f aca="false">'Model inputs'!N24*'Price &amp; Fixed Cost Sensitivity'!H5</f>
        <v>4760</v>
      </c>
      <c r="O75" s="32" t="n">
        <v>0</v>
      </c>
      <c r="P75" s="32" t="n">
        <v>0</v>
      </c>
      <c r="Q75" s="32" t="n">
        <v>0</v>
      </c>
      <c r="R75" s="32" t="n">
        <v>0</v>
      </c>
      <c r="S75" s="32" t="n">
        <v>0</v>
      </c>
      <c r="T75" s="32" t="n">
        <v>0</v>
      </c>
      <c r="U75" s="32" t="n">
        <v>0</v>
      </c>
      <c r="V75" s="32" t="n">
        <v>0</v>
      </c>
      <c r="W75" s="32" t="n">
        <v>0</v>
      </c>
      <c r="X75" s="32" t="n">
        <f aca="false">'Model inputs'!X24*'Price &amp; Fixed Cost Sensitivity'!H5</f>
        <v>0</v>
      </c>
      <c r="Y75" s="32" t="n">
        <f aca="false">'Model inputs'!Y24*'Price &amp; Fixed Cost Sensitivity'!H5</f>
        <v>0</v>
      </c>
    </row>
    <row r="76" customFormat="false" ht="18" hidden="false" customHeight="false" outlineLevel="0" collapsed="false">
      <c r="A76" s="41" t="s">
        <v>253</v>
      </c>
      <c r="B76" s="32" t="n">
        <f aca="false">IF('Model inputs'!B15="","",'Model inputs'!B15)</f>
        <v>-1000</v>
      </c>
      <c r="C76" s="32" t="n">
        <f aca="false">IF('Model inputs'!C15="","",'Model inputs'!C15)</f>
        <v>20000</v>
      </c>
      <c r="D76" s="32" t="n">
        <f aca="false">IF('Model inputs'!D15="","",'Model inputs'!D15)</f>
        <v>19569</v>
      </c>
      <c r="E76" s="32" t="n">
        <f aca="false">IF('Model inputs'!E15="","",'Model inputs'!E15)</f>
        <v>19345</v>
      </c>
      <c r="F76" s="32" t="n">
        <f aca="false">IF('Model inputs'!F15="","",'Model inputs'!F15)</f>
        <v>19466</v>
      </c>
      <c r="G76" s="32" t="n">
        <f aca="false">IF('Model inputs'!G15="","",'Model inputs'!G15)</f>
        <v>19932</v>
      </c>
      <c r="H76" s="32" t="n">
        <f aca="false">IF('Model inputs'!H15="","",'Model inputs'!H15)</f>
        <v>20812</v>
      </c>
      <c r="I76" s="32" t="n">
        <f aca="false">IF('Model inputs'!I15="","",'Model inputs'!I15)</f>
        <v>22106</v>
      </c>
      <c r="J76" s="32" t="n">
        <f aca="false">IF('Model inputs'!J15="","",'Model inputs'!J15)</f>
        <v>23814</v>
      </c>
      <c r="K76" s="32" t="n">
        <f aca="false">IF('Model inputs'!K15="","",'Model inputs'!K15)</f>
        <v>25936</v>
      </c>
      <c r="L76" s="32" t="n">
        <f aca="false">IF('Model inputs'!L15="","",'Model inputs'!L15)</f>
        <v>28196</v>
      </c>
      <c r="M76" s="32" t="n">
        <f aca="false">IF('Model inputs'!M15="","",'Model inputs'!M15)</f>
        <v>30456</v>
      </c>
      <c r="N76" s="32" t="n">
        <f aca="false">IF('Model inputs'!N15="","",'Model inputs'!N15)</f>
        <v>32716</v>
      </c>
      <c r="O76" s="32" t="n">
        <v>0</v>
      </c>
      <c r="P76" s="32" t="n">
        <v>0</v>
      </c>
      <c r="Q76" s="32" t="n">
        <v>0</v>
      </c>
      <c r="R76" s="32" t="n">
        <v>0</v>
      </c>
      <c r="S76" s="32" t="n">
        <v>0</v>
      </c>
      <c r="T76" s="32" t="n">
        <v>0</v>
      </c>
      <c r="U76" s="32" t="n">
        <v>0</v>
      </c>
      <c r="V76" s="32" t="n">
        <v>0</v>
      </c>
      <c r="W76" s="32" t="n">
        <f aca="false">IF('Model inputs'!W15="","",'Model inputs'!W15)</f>
        <v>0</v>
      </c>
      <c r="X76" s="32" t="n">
        <f aca="false">IF('Model inputs'!X15="","",'Model inputs'!X15)</f>
        <v>0</v>
      </c>
      <c r="Y76" s="32" t="n">
        <f aca="false">IF('Model inputs'!Y15="","",'Model inputs'!Y15)</f>
        <v>-500</v>
      </c>
    </row>
    <row r="77" customFormat="false" ht="18" hidden="false" customHeight="false" outlineLevel="0" collapsed="false">
      <c r="A77" s="41" t="s">
        <v>254</v>
      </c>
      <c r="B77" s="32" t="n">
        <f aca="false">IF(IF(IF(ISERROR(DATE(2026,12,1)=DATE(YEAR('Model inputs'!AA122),MONTH('Model inputs'!AA122),1)),DATE(2026,12,1)=DATE(YEAR('Model inputs'!AA122),MONTH('Model inputs'!AA122),1),IF(DATE(YEAR('Model inputs'!AA122),MONTH('Model inputs'!AA122),1)="","",DATE(2026,12,1)=DATE(YEAR('Model inputs'!AA122),MONTH('Model inputs'!AA122),1)))="",FALSE(),IF(ISERROR(DATE(2026,12,1)=DATE(YEAR('Model inputs'!AA122),MONTH('Model inputs'!AA122),1)),DATE(2026,12,1)=DATE(YEAR('Model inputs'!AA122),MONTH('Model inputs'!AA122),1),IF(DATE(YEAR('Model inputs'!AA122),MONTH('Model inputs'!AA122),1)="","",DATE(2026,12,1)=DATE(YEAR('Model inputs'!AA122),MONTH('Model inputs'!AA122),1)))),IF('Model inputs'!AA107="","",'Model inputs'!AA107),IF('Model inputs'!Y8="","",'Model inputs'!Y8))</f>
        <v>-800</v>
      </c>
      <c r="C77" s="32" t="n">
        <f aca="false">IF(IF(IF(ISERROR(DATE(2027,1,1)=DATE(YEAR('Model inputs'!AA122),MONTH('Model inputs'!AA122),1)),DATE(2027,1,1)=DATE(YEAR('Model inputs'!AA122),MONTH('Model inputs'!AA122),1),IF(DATE(YEAR('Model inputs'!AA122),MONTH('Model inputs'!AA122),1)="","",DATE(2027,1,1)=DATE(YEAR('Model inputs'!AA122),MONTH('Model inputs'!AA122),1)))="",FALSE(),IF(ISERROR(DATE(2027,1,1)=DATE(YEAR('Model inputs'!AA122),MONTH('Model inputs'!AA122),1)),DATE(2027,1,1)=DATE(YEAR('Model inputs'!AA122),MONTH('Model inputs'!AA122),1),IF(DATE(YEAR('Model inputs'!AA122),MONTH('Model inputs'!AA122),1)="","",DATE(2027,1,1)=DATE(YEAR('Model inputs'!AA122),MONTH('Model inputs'!AA122),1)))),IF('Model inputs'!AA107="","",'Model inputs'!AA107),IF('Model inputs'!B8="","",'Model inputs'!B8))</f>
        <v>20000</v>
      </c>
      <c r="D77" s="32" t="n">
        <f aca="false">IF(IF(IF(ISERROR(DATE(2027,2,1)=DATE(YEAR('Model inputs'!AA122),MONTH('Model inputs'!AA122),1)),DATE(2027,2,1)=DATE(YEAR('Model inputs'!AA122),MONTH('Model inputs'!AA122),1),IF(DATE(YEAR('Model inputs'!AA122),MONTH('Model inputs'!AA122),1)="","",DATE(2027,2,1)=DATE(YEAR('Model inputs'!AA122),MONTH('Model inputs'!AA122),1)))="",FALSE(),IF(ISERROR(DATE(2027,2,1)=DATE(YEAR('Model inputs'!AA122),MONTH('Model inputs'!AA122),1)),DATE(2027,2,1)=DATE(YEAR('Model inputs'!AA122),MONTH('Model inputs'!AA122),1),IF(DATE(YEAR('Model inputs'!AA122),MONTH('Model inputs'!AA122),1)="","",DATE(2027,2,1)=DATE(YEAR('Model inputs'!AA122),MONTH('Model inputs'!AA122),1)))),IF('Model inputs'!AA107="","",'Model inputs'!AA107),IF('Model inputs'!C8="","",'Model inputs'!C8))</f>
        <v>19669</v>
      </c>
      <c r="E77" s="32" t="n">
        <f aca="false">IF(IF(IF(ISERROR(DATE(2027,3,1)=DATE(YEAR('Model inputs'!AA122),MONTH('Model inputs'!AA122),1)),DATE(2027,3,1)=DATE(YEAR('Model inputs'!AA122),MONTH('Model inputs'!AA122),1),IF(DATE(YEAR('Model inputs'!AA122),MONTH('Model inputs'!AA122),1)="","",DATE(2027,3,1)=DATE(YEAR('Model inputs'!AA122),MONTH('Model inputs'!AA122),1)))="",FALSE(),IF(ISERROR(DATE(2027,3,1)=DATE(YEAR('Model inputs'!AA122),MONTH('Model inputs'!AA122),1)),DATE(2027,3,1)=DATE(YEAR('Model inputs'!AA122),MONTH('Model inputs'!AA122),1),IF(DATE(YEAR('Model inputs'!AA122),MONTH('Model inputs'!AA122),1)="","",DATE(2027,3,1)=DATE(YEAR('Model inputs'!AA122),MONTH('Model inputs'!AA122),1)))),IF('Model inputs'!AA107="","",'Model inputs'!AA107),IF('Model inputs'!D8="","",'Model inputs'!D8))</f>
        <v>19545</v>
      </c>
      <c r="F77" s="32" t="n">
        <f aca="false">IF(IF(IF(ISERROR(DATE(2027,4,1)=DATE(YEAR('Model inputs'!AA122),MONTH('Model inputs'!AA122),1)),DATE(2027,4,1)=DATE(YEAR('Model inputs'!AA122),MONTH('Model inputs'!AA122),1),IF(DATE(YEAR('Model inputs'!AA122),MONTH('Model inputs'!AA122),1)="","",DATE(2027,4,1)=DATE(YEAR('Model inputs'!AA122),MONTH('Model inputs'!AA122),1)))="",FALSE(),IF(ISERROR(DATE(2027,4,1)=DATE(YEAR('Model inputs'!AA122),MONTH('Model inputs'!AA122),1)),DATE(2027,4,1)=DATE(YEAR('Model inputs'!AA122),MONTH('Model inputs'!AA122),1),IF(DATE(YEAR('Model inputs'!AA122),MONTH('Model inputs'!AA122),1)="","",DATE(2027,4,1)=DATE(YEAR('Model inputs'!AA122),MONTH('Model inputs'!AA122),1)))),IF('Model inputs'!AA107="","",'Model inputs'!AA107),IF('Model inputs'!E8="","",'Model inputs'!E8))</f>
        <v>19766</v>
      </c>
      <c r="G77" s="32" t="n">
        <f aca="false">IF(IF(IF(ISERROR(DATE(2027,5,1)=DATE(YEAR('Model inputs'!AA122),MONTH('Model inputs'!AA122),1)),DATE(2027,5,1)=DATE(YEAR('Model inputs'!AA122),MONTH('Model inputs'!AA122),1),IF(DATE(YEAR('Model inputs'!AA122),MONTH('Model inputs'!AA122),1)="","",DATE(2027,5,1)=DATE(YEAR('Model inputs'!AA122),MONTH('Model inputs'!AA122),1)))="",FALSE(),IF(ISERROR(DATE(2027,5,1)=DATE(YEAR('Model inputs'!AA122),MONTH('Model inputs'!AA122),1)),DATE(2027,5,1)=DATE(YEAR('Model inputs'!AA122),MONTH('Model inputs'!AA122),1),IF(DATE(YEAR('Model inputs'!AA122),MONTH('Model inputs'!AA122),1)="","",DATE(2027,5,1)=DATE(YEAR('Model inputs'!AA122),MONTH('Model inputs'!AA122),1)))),IF('Model inputs'!AA107="","",'Model inputs'!AA107),IF('Model inputs'!F8="","",'Model inputs'!F8))</f>
        <v>20332</v>
      </c>
      <c r="H77" s="32" t="n">
        <f aca="false">IF(IF(IF(ISERROR(DATE(2027,6,1)=DATE(YEAR('Model inputs'!AA122),MONTH('Model inputs'!AA122),1)),DATE(2027,6,1)=DATE(YEAR('Model inputs'!AA122),MONTH('Model inputs'!AA122),1),IF(DATE(YEAR('Model inputs'!AA122),MONTH('Model inputs'!AA122),1)="","",DATE(2027,6,1)=DATE(YEAR('Model inputs'!AA122),MONTH('Model inputs'!AA122),1)))="",FALSE(),IF(ISERROR(DATE(2027,6,1)=DATE(YEAR('Model inputs'!AA122),MONTH('Model inputs'!AA122),1)),DATE(2027,6,1)=DATE(YEAR('Model inputs'!AA122),MONTH('Model inputs'!AA122),1),IF(DATE(YEAR('Model inputs'!AA122),MONTH('Model inputs'!AA122),1)="","",DATE(2027,6,1)=DATE(YEAR('Model inputs'!AA122),MONTH('Model inputs'!AA122),1)))),IF('Model inputs'!AA107="","",'Model inputs'!AA107),IF('Model inputs'!G8="","",'Model inputs'!G8))</f>
        <v>21312</v>
      </c>
      <c r="I77" s="32" t="n">
        <f aca="false">IF(IF(IF(ISERROR(DATE(2027,7,1)=DATE(YEAR('Model inputs'!AA122),MONTH('Model inputs'!AA122),1)),DATE(2027,7,1)=DATE(YEAR('Model inputs'!AA122),MONTH('Model inputs'!AA122),1),IF(DATE(YEAR('Model inputs'!AA122),MONTH('Model inputs'!AA122),1)="","",DATE(2027,7,1)=DATE(YEAR('Model inputs'!AA122),MONTH('Model inputs'!AA122),1)))="",FALSE(),IF(ISERROR(DATE(2027,7,1)=DATE(YEAR('Model inputs'!AA122),MONTH('Model inputs'!AA122),1)),DATE(2027,7,1)=DATE(YEAR('Model inputs'!AA122),MONTH('Model inputs'!AA122),1),IF(DATE(YEAR('Model inputs'!AA122),MONTH('Model inputs'!AA122),1)="","",DATE(2027,7,1)=DATE(YEAR('Model inputs'!AA122),MONTH('Model inputs'!AA122),1)))),IF('Model inputs'!AA107="","",'Model inputs'!AA107),IF('Model inputs'!H8="","",'Model inputs'!H8))</f>
        <v>22706</v>
      </c>
      <c r="J77" s="32" t="n">
        <f aca="false">IF(IF(IF(ISERROR(DATE(2027,8,1)=DATE(YEAR('Model inputs'!AA122),MONTH('Model inputs'!AA122),1)),DATE(2027,8,1)=DATE(YEAR('Model inputs'!AA122),MONTH('Model inputs'!AA122),1),IF(DATE(YEAR('Model inputs'!AA122),MONTH('Model inputs'!AA122),1)="","",DATE(2027,8,1)=DATE(YEAR('Model inputs'!AA122),MONTH('Model inputs'!AA122),1)))="",FALSE(),IF(ISERROR(DATE(2027,8,1)=DATE(YEAR('Model inputs'!AA122),MONTH('Model inputs'!AA122),1)),DATE(2027,8,1)=DATE(YEAR('Model inputs'!AA122),MONTH('Model inputs'!AA122),1),IF(DATE(YEAR('Model inputs'!AA122),MONTH('Model inputs'!AA122),1)="","",DATE(2027,8,1)=DATE(YEAR('Model inputs'!AA122),MONTH('Model inputs'!AA122),1)))),IF('Model inputs'!AA107="","",'Model inputs'!AA107),IF('Model inputs'!I8="","",'Model inputs'!I8))</f>
        <v>24514</v>
      </c>
      <c r="K77" s="32" t="n">
        <f aca="false">IF(IF(IF(ISERROR(DATE(2027,9,1)=DATE(YEAR('Model inputs'!AA122),MONTH('Model inputs'!AA122),1)),DATE(2027,9,1)=DATE(YEAR('Model inputs'!AA122),MONTH('Model inputs'!AA122),1),IF(DATE(YEAR('Model inputs'!AA122),MONTH('Model inputs'!AA122),1)="","",DATE(2027,9,1)=DATE(YEAR('Model inputs'!AA122),MONTH('Model inputs'!AA122),1)))="",FALSE(),IF(ISERROR(DATE(2027,9,1)=DATE(YEAR('Model inputs'!AA122),MONTH('Model inputs'!AA122),1)),DATE(2027,9,1)=DATE(YEAR('Model inputs'!AA122),MONTH('Model inputs'!AA122),1),IF(DATE(YEAR('Model inputs'!AA122),MONTH('Model inputs'!AA122),1)="","",DATE(2027,9,1)=DATE(YEAR('Model inputs'!AA122),MONTH('Model inputs'!AA122),1)))),IF('Model inputs'!AA107="","",'Model inputs'!AA107),IF('Model inputs'!J8="","",'Model inputs'!J8))</f>
        <v>26736</v>
      </c>
      <c r="L77" s="32" t="n">
        <f aca="false">IF(IF(IF(ISERROR(DATE(2027,10,1)=DATE(YEAR('Model inputs'!AA122),MONTH('Model inputs'!AA122),1)),DATE(2027,10,1)=DATE(YEAR('Model inputs'!AA122),MONTH('Model inputs'!AA122),1),IF(DATE(YEAR('Model inputs'!AA122),MONTH('Model inputs'!AA122),1)="","",DATE(2027,10,1)=DATE(YEAR('Model inputs'!AA122),MONTH('Model inputs'!AA122),1)))="",FALSE(),IF(ISERROR(DATE(2027,10,1)=DATE(YEAR('Model inputs'!AA122),MONTH('Model inputs'!AA122),1)),DATE(2027,10,1)=DATE(YEAR('Model inputs'!AA122),MONTH('Model inputs'!AA122),1),IF(DATE(YEAR('Model inputs'!AA122),MONTH('Model inputs'!AA122),1)="","",DATE(2027,10,1)=DATE(YEAR('Model inputs'!AA122),MONTH('Model inputs'!AA122),1)))),IF('Model inputs'!AA107="","",'Model inputs'!AA107),IF('Model inputs'!K8="","",'Model inputs'!K8))</f>
        <v>29096</v>
      </c>
      <c r="M77" s="32" t="n">
        <f aca="false">IF(IF(IF(ISERROR(DATE(2027,11,1)=DATE(YEAR('Model inputs'!AA122),MONTH('Model inputs'!AA122),1)),DATE(2027,11,1)=DATE(YEAR('Model inputs'!AA122),MONTH('Model inputs'!AA122),1),IF(DATE(YEAR('Model inputs'!AA122),MONTH('Model inputs'!AA122),1)="","",DATE(2027,11,1)=DATE(YEAR('Model inputs'!AA122),MONTH('Model inputs'!AA122),1)))="",FALSE(),IF(ISERROR(DATE(2027,11,1)=DATE(YEAR('Model inputs'!AA122),MONTH('Model inputs'!AA122),1)),DATE(2027,11,1)=DATE(YEAR('Model inputs'!AA122),MONTH('Model inputs'!AA122),1),IF(DATE(YEAR('Model inputs'!AA122),MONTH('Model inputs'!AA122),1)="","",DATE(2027,11,1)=DATE(YEAR('Model inputs'!AA122),MONTH('Model inputs'!AA122),1)))),IF('Model inputs'!AA107="","",'Model inputs'!AA107),IF('Model inputs'!L8="","",'Model inputs'!L8))</f>
        <v>31456</v>
      </c>
      <c r="N77" s="32" t="n">
        <f aca="false">IF(IF(IF(ISERROR(DATE(2027,12,1)=DATE(YEAR('Model inputs'!AA122),MONTH('Model inputs'!AA122),1)),DATE(2027,12,1)=DATE(YEAR('Model inputs'!AA122),MONTH('Model inputs'!AA122),1),IF(DATE(YEAR('Model inputs'!AA122),MONTH('Model inputs'!AA122),1)="","",DATE(2027,12,1)=DATE(YEAR('Model inputs'!AA122),MONTH('Model inputs'!AA122),1)))="",FALSE(),IF(ISERROR(DATE(2027,12,1)=DATE(YEAR('Model inputs'!AA122),MONTH('Model inputs'!AA122),1)),DATE(2027,12,1)=DATE(YEAR('Model inputs'!AA122),MONTH('Model inputs'!AA122),1),IF(DATE(YEAR('Model inputs'!AA122),MONTH('Model inputs'!AA122),1)="","",DATE(2027,12,1)=DATE(YEAR('Model inputs'!AA122),MONTH('Model inputs'!AA122),1)))),IF('Model inputs'!AA107="","",'Model inputs'!AA107),IF('Model inputs'!M8="","",'Model inputs'!M8))</f>
        <v>33816</v>
      </c>
      <c r="O77" s="32" t="n">
        <v>0</v>
      </c>
      <c r="P77" s="32" t="n">
        <v>0</v>
      </c>
      <c r="Q77" s="32" t="n">
        <v>0</v>
      </c>
      <c r="R77" s="32" t="n">
        <v>0</v>
      </c>
      <c r="S77" s="32" t="n">
        <v>0</v>
      </c>
      <c r="T77" s="32" t="n">
        <v>0</v>
      </c>
      <c r="U77" s="32" t="n">
        <v>0</v>
      </c>
      <c r="V77" s="32" t="n">
        <v>0</v>
      </c>
      <c r="W77" s="32" t="n">
        <v>0</v>
      </c>
      <c r="X77" s="32" t="n">
        <f aca="false">IF(IF(IF(ISERROR(DATE(2026,10,1)=DATE(YEAR('Model inputs'!AA122),MONTH('Model inputs'!AA122),1)),DATE(2026,10,1)=DATE(YEAR('Model inputs'!AA122),MONTH('Model inputs'!AA122),1),IF(DATE(YEAR('Model inputs'!AA122),MONTH('Model inputs'!AA122),1)="","",DATE(2026,10,1)=DATE(YEAR('Model inputs'!AA122),MONTH('Model inputs'!AA122),1)))="",FALSE(),IF(ISERROR(DATE(2026,10,1)=DATE(YEAR('Model inputs'!AA122),MONTH('Model inputs'!AA122),1)),DATE(2026,10,1)=DATE(YEAR('Model inputs'!AA122),MONTH('Model inputs'!AA122),1),IF(DATE(YEAR('Model inputs'!AA122),MONTH('Model inputs'!AA122),1)="","",DATE(2026,10,1)=DATE(YEAR('Model inputs'!AA122),MONTH('Model inputs'!AA122),1)))),IF('Model inputs'!AA107="","",'Model inputs'!AA107),IF('Model inputs'!W8="","",'Model inputs'!W8))</f>
        <v>0</v>
      </c>
      <c r="Y77" s="32" t="n">
        <f aca="false">IF(IF(IF(ISERROR(DATE(2026,11,1)=DATE(YEAR('Model inputs'!AA122),MONTH('Model inputs'!AA122),1)),DATE(2026,11,1)=DATE(YEAR('Model inputs'!AA122),MONTH('Model inputs'!AA122),1),IF(DATE(YEAR('Model inputs'!AA122),MONTH('Model inputs'!AA122),1)="","",DATE(2026,11,1)=DATE(YEAR('Model inputs'!AA122),MONTH('Model inputs'!AA122),1)))="",FALSE(),IF(ISERROR(DATE(2026,11,1)=DATE(YEAR('Model inputs'!AA122),MONTH('Model inputs'!AA122),1)),DATE(2026,11,1)=DATE(YEAR('Model inputs'!AA122),MONTH('Model inputs'!AA122),1),IF(DATE(YEAR('Model inputs'!AA122),MONTH('Model inputs'!AA122),1)="","",DATE(2026,11,1)=DATE(YEAR('Model inputs'!AA122),MONTH('Model inputs'!AA122),1)))),IF('Model inputs'!AA107="","",'Model inputs'!AA107),IF('Model inputs'!X8="","",'Model inputs'!X8))</f>
        <v>-400</v>
      </c>
    </row>
    <row r="78" customFormat="false" ht="18" hidden="false" customHeight="false" outlineLevel="0" collapsed="false">
      <c r="A78" s="41" t="s">
        <v>255</v>
      </c>
      <c r="B78" s="32" t="n">
        <f aca="false">IF(IF(IF(ISERROR(DATE(2026,12,1)=DATE(YEAR('Model inputs'!AA123),MONTH('Model inputs'!AA123),1)),DATE(2026,12,1)=DATE(YEAR('Model inputs'!AA123),MONTH('Model inputs'!AA123),1),IF(DATE(YEAR('Model inputs'!AA123),MONTH('Model inputs'!AA123),1)="","",DATE(2026,12,1)=DATE(YEAR('Model inputs'!AA123),MONTH('Model inputs'!AA123),1)))="",FALSE(),IF(ISERROR(DATE(2026,12,1)=DATE(YEAR('Model inputs'!AA123),MONTH('Model inputs'!AA123),1)),DATE(2026,12,1)=DATE(YEAR('Model inputs'!AA123),MONTH('Model inputs'!AA123),1),IF(DATE(YEAR('Model inputs'!AA123),MONTH('Model inputs'!AA123),1)="","",DATE(2026,12,1)=DATE(YEAR('Model inputs'!AA123),MONTH('Model inputs'!AA123),1)))),IF('Model inputs'!AA108="","",'Model inputs'!AA108),IF('Model inputs'!Y9="","",'Model inputs'!Y9))</f>
        <v>-600</v>
      </c>
      <c r="C78" s="32" t="n">
        <f aca="false">IF(IF(IF(ISERROR(DATE(2027,1,1)=DATE(YEAR('Model inputs'!AA123),MONTH('Model inputs'!AA123),1)),DATE(2027,1,1)=DATE(YEAR('Model inputs'!AA123),MONTH('Model inputs'!AA123),1),IF(DATE(YEAR('Model inputs'!AA123),MONTH('Model inputs'!AA123),1)="","",DATE(2027,1,1)=DATE(YEAR('Model inputs'!AA123),MONTH('Model inputs'!AA123),1)))="",FALSE(),IF(ISERROR(DATE(2027,1,1)=DATE(YEAR('Model inputs'!AA123),MONTH('Model inputs'!AA123),1)),DATE(2027,1,1)=DATE(YEAR('Model inputs'!AA123),MONTH('Model inputs'!AA123),1),IF(DATE(YEAR('Model inputs'!AA123),MONTH('Model inputs'!AA123),1)="","",DATE(2027,1,1)=DATE(YEAR('Model inputs'!AA123),MONTH('Model inputs'!AA123),1)))),IF('Model inputs'!AA108="","",'Model inputs'!AA108),IF('Model inputs'!B9="","",'Model inputs'!B9))</f>
        <v>20000</v>
      </c>
      <c r="D78" s="32" t="n">
        <f aca="false">IF(IF(IF(ISERROR(DATE(2027,2,1)=DATE(YEAR('Model inputs'!AA123),MONTH('Model inputs'!AA123),1)),DATE(2027,2,1)=DATE(YEAR('Model inputs'!AA123),MONTH('Model inputs'!AA123),1),IF(DATE(YEAR('Model inputs'!AA123),MONTH('Model inputs'!AA123),1)="","",DATE(2027,2,1)=DATE(YEAR('Model inputs'!AA123),MONTH('Model inputs'!AA123),1)))="",FALSE(),IF(ISERROR(DATE(2027,2,1)=DATE(YEAR('Model inputs'!AA123),MONTH('Model inputs'!AA123),1)),DATE(2027,2,1)=DATE(YEAR('Model inputs'!AA123),MONTH('Model inputs'!AA123),1),IF(DATE(YEAR('Model inputs'!AA123),MONTH('Model inputs'!AA123),1)="","",DATE(2027,2,1)=DATE(YEAR('Model inputs'!AA123),MONTH('Model inputs'!AA123),1)))),IF('Model inputs'!AA108="","",'Model inputs'!AA108),IF('Model inputs'!C9="","",'Model inputs'!C9))</f>
        <v>19769</v>
      </c>
      <c r="E78" s="32" t="n">
        <f aca="false">IF(IF(IF(ISERROR(DATE(2027,3,1)=DATE(YEAR('Model inputs'!AA123),MONTH('Model inputs'!AA123),1)),DATE(2027,3,1)=DATE(YEAR('Model inputs'!AA123),MONTH('Model inputs'!AA123),1),IF(DATE(YEAR('Model inputs'!AA123),MONTH('Model inputs'!AA123),1)="","",DATE(2027,3,1)=DATE(YEAR('Model inputs'!AA123),MONTH('Model inputs'!AA123),1)))="",FALSE(),IF(ISERROR(DATE(2027,3,1)=DATE(YEAR('Model inputs'!AA123),MONTH('Model inputs'!AA123),1)),DATE(2027,3,1)=DATE(YEAR('Model inputs'!AA123),MONTH('Model inputs'!AA123),1),IF(DATE(YEAR('Model inputs'!AA123),MONTH('Model inputs'!AA123),1)="","",DATE(2027,3,1)=DATE(YEAR('Model inputs'!AA123),MONTH('Model inputs'!AA123),1)))),IF('Model inputs'!AA108="","",'Model inputs'!AA108),IF('Model inputs'!D9="","",'Model inputs'!D9))</f>
        <v>19745</v>
      </c>
      <c r="F78" s="32" t="n">
        <f aca="false">IF(IF(IF(ISERROR(DATE(2027,4,1)=DATE(YEAR('Model inputs'!AA123),MONTH('Model inputs'!AA123),1)),DATE(2027,4,1)=DATE(YEAR('Model inputs'!AA123),MONTH('Model inputs'!AA123),1),IF(DATE(YEAR('Model inputs'!AA123),MONTH('Model inputs'!AA123),1)="","",DATE(2027,4,1)=DATE(YEAR('Model inputs'!AA123),MONTH('Model inputs'!AA123),1)))="",FALSE(),IF(ISERROR(DATE(2027,4,1)=DATE(YEAR('Model inputs'!AA123),MONTH('Model inputs'!AA123),1)),DATE(2027,4,1)=DATE(YEAR('Model inputs'!AA123),MONTH('Model inputs'!AA123),1),IF(DATE(YEAR('Model inputs'!AA123),MONTH('Model inputs'!AA123),1)="","",DATE(2027,4,1)=DATE(YEAR('Model inputs'!AA123),MONTH('Model inputs'!AA123),1)))),IF('Model inputs'!AA108="","",'Model inputs'!AA108),IF('Model inputs'!E9="","",'Model inputs'!E9))</f>
        <v>20066</v>
      </c>
      <c r="G78" s="32" t="n">
        <f aca="false">IF(IF(IF(ISERROR(DATE(2027,5,1)=DATE(YEAR('Model inputs'!AA123),MONTH('Model inputs'!AA123),1)),DATE(2027,5,1)=DATE(YEAR('Model inputs'!AA123),MONTH('Model inputs'!AA123),1),IF(DATE(YEAR('Model inputs'!AA123),MONTH('Model inputs'!AA123),1)="","",DATE(2027,5,1)=DATE(YEAR('Model inputs'!AA123),MONTH('Model inputs'!AA123),1)))="",FALSE(),IF(ISERROR(DATE(2027,5,1)=DATE(YEAR('Model inputs'!AA123),MONTH('Model inputs'!AA123),1)),DATE(2027,5,1)=DATE(YEAR('Model inputs'!AA123),MONTH('Model inputs'!AA123),1),IF(DATE(YEAR('Model inputs'!AA123),MONTH('Model inputs'!AA123),1)="","",DATE(2027,5,1)=DATE(YEAR('Model inputs'!AA123),MONTH('Model inputs'!AA123),1)))),IF('Model inputs'!AA108="","",'Model inputs'!AA108),IF('Model inputs'!F9="","",'Model inputs'!F9))</f>
        <v>20732</v>
      </c>
      <c r="H78" s="32" t="n">
        <f aca="false">IF(IF(IF(ISERROR(DATE(2027,6,1)=DATE(YEAR('Model inputs'!AA123),MONTH('Model inputs'!AA123),1)),DATE(2027,6,1)=DATE(YEAR('Model inputs'!AA123),MONTH('Model inputs'!AA123),1),IF(DATE(YEAR('Model inputs'!AA123),MONTH('Model inputs'!AA123),1)="","",DATE(2027,6,1)=DATE(YEAR('Model inputs'!AA123),MONTH('Model inputs'!AA123),1)))="",FALSE(),IF(ISERROR(DATE(2027,6,1)=DATE(YEAR('Model inputs'!AA123),MONTH('Model inputs'!AA123),1)),DATE(2027,6,1)=DATE(YEAR('Model inputs'!AA123),MONTH('Model inputs'!AA123),1),IF(DATE(YEAR('Model inputs'!AA123),MONTH('Model inputs'!AA123),1)="","",DATE(2027,6,1)=DATE(YEAR('Model inputs'!AA123),MONTH('Model inputs'!AA123),1)))),IF('Model inputs'!AA108="","",'Model inputs'!AA108),IF('Model inputs'!G9="","",'Model inputs'!G9))</f>
        <v>21812</v>
      </c>
      <c r="I78" s="32" t="n">
        <f aca="false">IF(IF(IF(ISERROR(DATE(2027,7,1)=DATE(YEAR('Model inputs'!AA123),MONTH('Model inputs'!AA123),1)),DATE(2027,7,1)=DATE(YEAR('Model inputs'!AA123),MONTH('Model inputs'!AA123),1),IF(DATE(YEAR('Model inputs'!AA123),MONTH('Model inputs'!AA123),1)="","",DATE(2027,7,1)=DATE(YEAR('Model inputs'!AA123),MONTH('Model inputs'!AA123),1)))="",FALSE(),IF(ISERROR(DATE(2027,7,1)=DATE(YEAR('Model inputs'!AA123),MONTH('Model inputs'!AA123),1)),DATE(2027,7,1)=DATE(YEAR('Model inputs'!AA123),MONTH('Model inputs'!AA123),1),IF(DATE(YEAR('Model inputs'!AA123),MONTH('Model inputs'!AA123),1)="","",DATE(2027,7,1)=DATE(YEAR('Model inputs'!AA123),MONTH('Model inputs'!AA123),1)))),IF('Model inputs'!AA108="","",'Model inputs'!AA108),IF('Model inputs'!H9="","",'Model inputs'!H9))</f>
        <v>23306</v>
      </c>
      <c r="J78" s="32" t="n">
        <f aca="false">IF(IF(IF(ISERROR(DATE(2027,8,1)=DATE(YEAR('Model inputs'!AA123),MONTH('Model inputs'!AA123),1)),DATE(2027,8,1)=DATE(YEAR('Model inputs'!AA123),MONTH('Model inputs'!AA123),1),IF(DATE(YEAR('Model inputs'!AA123),MONTH('Model inputs'!AA123),1)="","",DATE(2027,8,1)=DATE(YEAR('Model inputs'!AA123),MONTH('Model inputs'!AA123),1)))="",FALSE(),IF(ISERROR(DATE(2027,8,1)=DATE(YEAR('Model inputs'!AA123),MONTH('Model inputs'!AA123),1)),DATE(2027,8,1)=DATE(YEAR('Model inputs'!AA123),MONTH('Model inputs'!AA123),1),IF(DATE(YEAR('Model inputs'!AA123),MONTH('Model inputs'!AA123),1)="","",DATE(2027,8,1)=DATE(YEAR('Model inputs'!AA123),MONTH('Model inputs'!AA123),1)))),IF('Model inputs'!AA108="","",'Model inputs'!AA108),IF('Model inputs'!I9="","",'Model inputs'!I9))</f>
        <v>25214</v>
      </c>
      <c r="K78" s="32" t="n">
        <f aca="false">IF(IF(IF(ISERROR(DATE(2027,9,1)=DATE(YEAR('Model inputs'!AA123),MONTH('Model inputs'!AA123),1)),DATE(2027,9,1)=DATE(YEAR('Model inputs'!AA123),MONTH('Model inputs'!AA123),1),IF(DATE(YEAR('Model inputs'!AA123),MONTH('Model inputs'!AA123),1)="","",DATE(2027,9,1)=DATE(YEAR('Model inputs'!AA123),MONTH('Model inputs'!AA123),1)))="",FALSE(),IF(ISERROR(DATE(2027,9,1)=DATE(YEAR('Model inputs'!AA123),MONTH('Model inputs'!AA123),1)),DATE(2027,9,1)=DATE(YEAR('Model inputs'!AA123),MONTH('Model inputs'!AA123),1),IF(DATE(YEAR('Model inputs'!AA123),MONTH('Model inputs'!AA123),1)="","",DATE(2027,9,1)=DATE(YEAR('Model inputs'!AA123),MONTH('Model inputs'!AA123),1)))),IF('Model inputs'!AA108="","",'Model inputs'!AA108),IF('Model inputs'!J9="","",'Model inputs'!J9))</f>
        <v>27536</v>
      </c>
      <c r="L78" s="32" t="n">
        <f aca="false">IF(IF(IF(ISERROR(DATE(2027,10,1)=DATE(YEAR('Model inputs'!AA123),MONTH('Model inputs'!AA123),1)),DATE(2027,10,1)=DATE(YEAR('Model inputs'!AA123),MONTH('Model inputs'!AA123),1),IF(DATE(YEAR('Model inputs'!AA123),MONTH('Model inputs'!AA123),1)="","",DATE(2027,10,1)=DATE(YEAR('Model inputs'!AA123),MONTH('Model inputs'!AA123),1)))="",FALSE(),IF(ISERROR(DATE(2027,10,1)=DATE(YEAR('Model inputs'!AA123),MONTH('Model inputs'!AA123),1)),DATE(2027,10,1)=DATE(YEAR('Model inputs'!AA123),MONTH('Model inputs'!AA123),1),IF(DATE(YEAR('Model inputs'!AA123),MONTH('Model inputs'!AA123),1)="","",DATE(2027,10,1)=DATE(YEAR('Model inputs'!AA123),MONTH('Model inputs'!AA123),1)))),IF('Model inputs'!AA108="","",'Model inputs'!AA108),IF('Model inputs'!K9="","",'Model inputs'!K9))</f>
        <v>29996</v>
      </c>
      <c r="M78" s="32" t="n">
        <f aca="false">IF(IF(IF(ISERROR(DATE(2027,11,1)=DATE(YEAR('Model inputs'!AA123),MONTH('Model inputs'!AA123),1)),DATE(2027,11,1)=DATE(YEAR('Model inputs'!AA123),MONTH('Model inputs'!AA123),1),IF(DATE(YEAR('Model inputs'!AA123),MONTH('Model inputs'!AA123),1)="","",DATE(2027,11,1)=DATE(YEAR('Model inputs'!AA123),MONTH('Model inputs'!AA123),1)))="",FALSE(),IF(ISERROR(DATE(2027,11,1)=DATE(YEAR('Model inputs'!AA123),MONTH('Model inputs'!AA123),1)),DATE(2027,11,1)=DATE(YEAR('Model inputs'!AA123),MONTH('Model inputs'!AA123),1),IF(DATE(YEAR('Model inputs'!AA123),MONTH('Model inputs'!AA123),1)="","",DATE(2027,11,1)=DATE(YEAR('Model inputs'!AA123),MONTH('Model inputs'!AA123),1)))),IF('Model inputs'!AA108="","",'Model inputs'!AA108),IF('Model inputs'!L9="","",'Model inputs'!L9))</f>
        <v>32456</v>
      </c>
      <c r="N78" s="32" t="n">
        <f aca="false">IF(IF(IF(ISERROR(DATE(2027,12,1)=DATE(YEAR('Model inputs'!AA123),MONTH('Model inputs'!AA123),1)),DATE(2027,12,1)=DATE(YEAR('Model inputs'!AA123),MONTH('Model inputs'!AA123),1),IF(DATE(YEAR('Model inputs'!AA123),MONTH('Model inputs'!AA123),1)="","",DATE(2027,12,1)=DATE(YEAR('Model inputs'!AA123),MONTH('Model inputs'!AA123),1)))="",FALSE(),IF(ISERROR(DATE(2027,12,1)=DATE(YEAR('Model inputs'!AA123),MONTH('Model inputs'!AA123),1)),DATE(2027,12,1)=DATE(YEAR('Model inputs'!AA123),MONTH('Model inputs'!AA123),1),IF(DATE(YEAR('Model inputs'!AA123),MONTH('Model inputs'!AA123),1)="","",DATE(2027,12,1)=DATE(YEAR('Model inputs'!AA123),MONTH('Model inputs'!AA123),1)))),IF('Model inputs'!AA108="","",'Model inputs'!AA108),IF('Model inputs'!M9="","",'Model inputs'!M9))</f>
        <v>34916</v>
      </c>
      <c r="O78" s="32" t="n">
        <v>0</v>
      </c>
      <c r="P78" s="32" t="n">
        <v>0</v>
      </c>
      <c r="Q78" s="32" t="n">
        <v>0</v>
      </c>
      <c r="R78" s="32" t="n">
        <v>0</v>
      </c>
      <c r="S78" s="32" t="n">
        <v>0</v>
      </c>
      <c r="T78" s="32" t="n">
        <v>0</v>
      </c>
      <c r="U78" s="32" t="n">
        <v>0</v>
      </c>
      <c r="V78" s="32" t="n">
        <v>0</v>
      </c>
      <c r="W78" s="32" t="n">
        <v>0</v>
      </c>
      <c r="X78" s="32" t="n">
        <f aca="false">IF(IF(IF(ISERROR(DATE(2026,10,1)=DATE(YEAR('Model inputs'!AA123),MONTH('Model inputs'!AA123),1)),DATE(2026,10,1)=DATE(YEAR('Model inputs'!AA123),MONTH('Model inputs'!AA123),1),IF(DATE(YEAR('Model inputs'!AA123),MONTH('Model inputs'!AA123),1)="","",DATE(2026,10,1)=DATE(YEAR('Model inputs'!AA123),MONTH('Model inputs'!AA123),1)))="",FALSE(),IF(ISERROR(DATE(2026,10,1)=DATE(YEAR('Model inputs'!AA123),MONTH('Model inputs'!AA123),1)),DATE(2026,10,1)=DATE(YEAR('Model inputs'!AA123),MONTH('Model inputs'!AA123),1),IF(DATE(YEAR('Model inputs'!AA123),MONTH('Model inputs'!AA123),1)="","",DATE(2026,10,1)=DATE(YEAR('Model inputs'!AA123),MONTH('Model inputs'!AA123),1)))),IF('Model inputs'!AA108="","",'Model inputs'!AA108),IF('Model inputs'!W9="","",'Model inputs'!W9))</f>
        <v>0</v>
      </c>
      <c r="Y78" s="32" t="n">
        <f aca="false">IF(IF(IF(ISERROR(DATE(2026,11,1)=DATE(YEAR('Model inputs'!AA123),MONTH('Model inputs'!AA123),1)),DATE(2026,11,1)=DATE(YEAR('Model inputs'!AA123),MONTH('Model inputs'!AA123),1),IF(DATE(YEAR('Model inputs'!AA123),MONTH('Model inputs'!AA123),1)="","",DATE(2026,11,1)=DATE(YEAR('Model inputs'!AA123),MONTH('Model inputs'!AA123),1)))="",FALSE(),IF(ISERROR(DATE(2026,11,1)=DATE(YEAR('Model inputs'!AA123),MONTH('Model inputs'!AA123),1)),DATE(2026,11,1)=DATE(YEAR('Model inputs'!AA123),MONTH('Model inputs'!AA123),1),IF(DATE(YEAR('Model inputs'!AA123),MONTH('Model inputs'!AA123),1)="","",DATE(2026,11,1)=DATE(YEAR('Model inputs'!AA123),MONTH('Model inputs'!AA123),1)))),IF('Model inputs'!AA108="","",'Model inputs'!AA108),IF('Model inputs'!X9="","",'Model inputs'!X9))</f>
        <v>-300</v>
      </c>
    </row>
    <row r="79" customFormat="false" ht="18" hidden="false" customHeight="false" outlineLevel="0" collapsed="false">
      <c r="A79" s="41" t="s">
        <v>256</v>
      </c>
      <c r="B79" s="32" t="n">
        <f aca="false">IF(IF(IF(ISERROR(DATE(2026,12,1)=DATE(YEAR('Model inputs'!AA124),MONTH('Model inputs'!AA124),1)),DATE(2026,12,1)=DATE(YEAR('Model inputs'!AA124),MONTH('Model inputs'!AA124),1),IF(DATE(YEAR('Model inputs'!AA124),MONTH('Model inputs'!AA124),1)="","",DATE(2026,12,1)=DATE(YEAR('Model inputs'!AA124),MONTH('Model inputs'!AA124),1)))="",FALSE(),IF(ISERROR(DATE(2026,12,1)=DATE(YEAR('Model inputs'!AA124),MONTH('Model inputs'!AA124),1)),DATE(2026,12,1)=DATE(YEAR('Model inputs'!AA124),MONTH('Model inputs'!AA124),1),IF(DATE(YEAR('Model inputs'!AA124),MONTH('Model inputs'!AA124),1)="","",DATE(2026,12,1)=DATE(YEAR('Model inputs'!AA124),MONTH('Model inputs'!AA124),1)))),IF('Model inputs'!AA109="","",'Model inputs'!AA109),IF('Model inputs'!Y10="","",'Model inputs'!Y10))</f>
        <v>-1000</v>
      </c>
      <c r="C79" s="32" t="n">
        <f aca="false">IF(IF(IF(ISERROR(DATE(2027,1,1)=DATE(YEAR('Model inputs'!AA124),MONTH('Model inputs'!AA124),1)),DATE(2027,1,1)=DATE(YEAR('Model inputs'!AA124),MONTH('Model inputs'!AA124),1),IF(DATE(YEAR('Model inputs'!AA124),MONTH('Model inputs'!AA124),1)="","",DATE(2027,1,1)=DATE(YEAR('Model inputs'!AA124),MONTH('Model inputs'!AA124),1)))="",FALSE(),IF(ISERROR(DATE(2027,1,1)=DATE(YEAR('Model inputs'!AA124),MONTH('Model inputs'!AA124),1)),DATE(2027,1,1)=DATE(YEAR('Model inputs'!AA124),MONTH('Model inputs'!AA124),1),IF(DATE(YEAR('Model inputs'!AA124),MONTH('Model inputs'!AA124),1)="","",DATE(2027,1,1)=DATE(YEAR('Model inputs'!AA124),MONTH('Model inputs'!AA124),1)))),IF('Model inputs'!AA109="","",'Model inputs'!AA109),IF('Model inputs'!B10="","",'Model inputs'!B10))</f>
        <v>20000</v>
      </c>
      <c r="D79" s="32" t="n">
        <f aca="false">IF(IF(IF(ISERROR(DATE(2027,2,1)=DATE(YEAR('Model inputs'!AA124),MONTH('Model inputs'!AA124),1)),DATE(2027,2,1)=DATE(YEAR('Model inputs'!AA124),MONTH('Model inputs'!AA124),1),IF(DATE(YEAR('Model inputs'!AA124),MONTH('Model inputs'!AA124),1)="","",DATE(2027,2,1)=DATE(YEAR('Model inputs'!AA124),MONTH('Model inputs'!AA124),1)))="",FALSE(),IF(ISERROR(DATE(2027,2,1)=DATE(YEAR('Model inputs'!AA124),MONTH('Model inputs'!AA124),1)),DATE(2027,2,1)=DATE(YEAR('Model inputs'!AA124),MONTH('Model inputs'!AA124),1),IF(DATE(YEAR('Model inputs'!AA124),MONTH('Model inputs'!AA124),1)="","",DATE(2027,2,1)=DATE(YEAR('Model inputs'!AA124),MONTH('Model inputs'!AA124),1)))),IF('Model inputs'!AA109="","",'Model inputs'!AA109),IF('Model inputs'!C10="","",'Model inputs'!C10))</f>
        <v>19569</v>
      </c>
      <c r="E79" s="32" t="n">
        <f aca="false">IF(IF(IF(ISERROR(DATE(2027,3,1)=DATE(YEAR('Model inputs'!AA124),MONTH('Model inputs'!AA124),1)),DATE(2027,3,1)=DATE(YEAR('Model inputs'!AA124),MONTH('Model inputs'!AA124),1),IF(DATE(YEAR('Model inputs'!AA124),MONTH('Model inputs'!AA124),1)="","",DATE(2027,3,1)=DATE(YEAR('Model inputs'!AA124),MONTH('Model inputs'!AA124),1)))="",FALSE(),IF(ISERROR(DATE(2027,3,1)=DATE(YEAR('Model inputs'!AA124),MONTH('Model inputs'!AA124),1)),DATE(2027,3,1)=DATE(YEAR('Model inputs'!AA124),MONTH('Model inputs'!AA124),1),IF(DATE(YEAR('Model inputs'!AA124),MONTH('Model inputs'!AA124),1)="","",DATE(2027,3,1)=DATE(YEAR('Model inputs'!AA124),MONTH('Model inputs'!AA124),1)))),IF('Model inputs'!AA109="","",'Model inputs'!AA109),IF('Model inputs'!D10="","",'Model inputs'!D10))</f>
        <v>19345</v>
      </c>
      <c r="F79" s="32" t="n">
        <f aca="false">IF(IF(IF(ISERROR(DATE(2027,4,1)=DATE(YEAR('Model inputs'!AA124),MONTH('Model inputs'!AA124),1)),DATE(2027,4,1)=DATE(YEAR('Model inputs'!AA124),MONTH('Model inputs'!AA124),1),IF(DATE(YEAR('Model inputs'!AA124),MONTH('Model inputs'!AA124),1)="","",DATE(2027,4,1)=DATE(YEAR('Model inputs'!AA124),MONTH('Model inputs'!AA124),1)))="",FALSE(),IF(ISERROR(DATE(2027,4,1)=DATE(YEAR('Model inputs'!AA124),MONTH('Model inputs'!AA124),1)),DATE(2027,4,1)=DATE(YEAR('Model inputs'!AA124),MONTH('Model inputs'!AA124),1),IF(DATE(YEAR('Model inputs'!AA124),MONTH('Model inputs'!AA124),1)="","",DATE(2027,4,1)=DATE(YEAR('Model inputs'!AA124),MONTH('Model inputs'!AA124),1)))),IF('Model inputs'!AA109="","",'Model inputs'!AA109),IF('Model inputs'!E10="","",'Model inputs'!E10))</f>
        <v>19466</v>
      </c>
      <c r="G79" s="32" t="n">
        <f aca="false">IF(IF(IF(ISERROR(DATE(2027,5,1)=DATE(YEAR('Model inputs'!AA124),MONTH('Model inputs'!AA124),1)),DATE(2027,5,1)=DATE(YEAR('Model inputs'!AA124),MONTH('Model inputs'!AA124),1),IF(DATE(YEAR('Model inputs'!AA124),MONTH('Model inputs'!AA124),1)="","",DATE(2027,5,1)=DATE(YEAR('Model inputs'!AA124),MONTH('Model inputs'!AA124),1)))="",FALSE(),IF(ISERROR(DATE(2027,5,1)=DATE(YEAR('Model inputs'!AA124),MONTH('Model inputs'!AA124),1)),DATE(2027,5,1)=DATE(YEAR('Model inputs'!AA124),MONTH('Model inputs'!AA124),1),IF(DATE(YEAR('Model inputs'!AA124),MONTH('Model inputs'!AA124),1)="","",DATE(2027,5,1)=DATE(YEAR('Model inputs'!AA124),MONTH('Model inputs'!AA124),1)))),IF('Model inputs'!AA109="","",'Model inputs'!AA109),IF('Model inputs'!F10="","",'Model inputs'!F10))</f>
        <v>19932</v>
      </c>
      <c r="H79" s="32" t="n">
        <f aca="false">IF(IF(IF(ISERROR(DATE(2027,6,1)=DATE(YEAR('Model inputs'!AA124),MONTH('Model inputs'!AA124),1)),DATE(2027,6,1)=DATE(YEAR('Model inputs'!AA124),MONTH('Model inputs'!AA124),1),IF(DATE(YEAR('Model inputs'!AA124),MONTH('Model inputs'!AA124),1)="","",DATE(2027,6,1)=DATE(YEAR('Model inputs'!AA124),MONTH('Model inputs'!AA124),1)))="",FALSE(),IF(ISERROR(DATE(2027,6,1)=DATE(YEAR('Model inputs'!AA124),MONTH('Model inputs'!AA124),1)),DATE(2027,6,1)=DATE(YEAR('Model inputs'!AA124),MONTH('Model inputs'!AA124),1),IF(DATE(YEAR('Model inputs'!AA124),MONTH('Model inputs'!AA124),1)="","",DATE(2027,6,1)=DATE(YEAR('Model inputs'!AA124),MONTH('Model inputs'!AA124),1)))),IF('Model inputs'!AA109="","",'Model inputs'!AA109),IF('Model inputs'!G10="","",'Model inputs'!G10))</f>
        <v>20812</v>
      </c>
      <c r="I79" s="32" t="n">
        <f aca="false">IF(IF(IF(ISERROR(DATE(2027,7,1)=DATE(YEAR('Model inputs'!AA124),MONTH('Model inputs'!AA124),1)),DATE(2027,7,1)=DATE(YEAR('Model inputs'!AA124),MONTH('Model inputs'!AA124),1),IF(DATE(YEAR('Model inputs'!AA124),MONTH('Model inputs'!AA124),1)="","",DATE(2027,7,1)=DATE(YEAR('Model inputs'!AA124),MONTH('Model inputs'!AA124),1)))="",FALSE(),IF(ISERROR(DATE(2027,7,1)=DATE(YEAR('Model inputs'!AA124),MONTH('Model inputs'!AA124),1)),DATE(2027,7,1)=DATE(YEAR('Model inputs'!AA124),MONTH('Model inputs'!AA124),1),IF(DATE(YEAR('Model inputs'!AA124),MONTH('Model inputs'!AA124),1)="","",DATE(2027,7,1)=DATE(YEAR('Model inputs'!AA124),MONTH('Model inputs'!AA124),1)))),IF('Model inputs'!AA109="","",'Model inputs'!AA109),IF('Model inputs'!H10="","",'Model inputs'!H10))</f>
        <v>22106</v>
      </c>
      <c r="J79" s="32" t="n">
        <f aca="false">IF(IF(IF(ISERROR(DATE(2027,8,1)=DATE(YEAR('Model inputs'!AA124),MONTH('Model inputs'!AA124),1)),DATE(2027,8,1)=DATE(YEAR('Model inputs'!AA124),MONTH('Model inputs'!AA124),1),IF(DATE(YEAR('Model inputs'!AA124),MONTH('Model inputs'!AA124),1)="","",DATE(2027,8,1)=DATE(YEAR('Model inputs'!AA124),MONTH('Model inputs'!AA124),1)))="",FALSE(),IF(ISERROR(DATE(2027,8,1)=DATE(YEAR('Model inputs'!AA124),MONTH('Model inputs'!AA124),1)),DATE(2027,8,1)=DATE(YEAR('Model inputs'!AA124),MONTH('Model inputs'!AA124),1),IF(DATE(YEAR('Model inputs'!AA124),MONTH('Model inputs'!AA124),1)="","",DATE(2027,8,1)=DATE(YEAR('Model inputs'!AA124),MONTH('Model inputs'!AA124),1)))),IF('Model inputs'!AA109="","",'Model inputs'!AA109),IF('Model inputs'!I10="","",'Model inputs'!I10))</f>
        <v>23814</v>
      </c>
      <c r="K79" s="32" t="n">
        <f aca="false">IF(IF(IF(ISERROR(DATE(2027,9,1)=DATE(YEAR('Model inputs'!AA124),MONTH('Model inputs'!AA124),1)),DATE(2027,9,1)=DATE(YEAR('Model inputs'!AA124),MONTH('Model inputs'!AA124),1),IF(DATE(YEAR('Model inputs'!AA124),MONTH('Model inputs'!AA124),1)="","",DATE(2027,9,1)=DATE(YEAR('Model inputs'!AA124),MONTH('Model inputs'!AA124),1)))="",FALSE(),IF(ISERROR(DATE(2027,9,1)=DATE(YEAR('Model inputs'!AA124),MONTH('Model inputs'!AA124),1)),DATE(2027,9,1)=DATE(YEAR('Model inputs'!AA124),MONTH('Model inputs'!AA124),1),IF(DATE(YEAR('Model inputs'!AA124),MONTH('Model inputs'!AA124),1)="","",DATE(2027,9,1)=DATE(YEAR('Model inputs'!AA124),MONTH('Model inputs'!AA124),1)))),IF('Model inputs'!AA109="","",'Model inputs'!AA109),IF('Model inputs'!J10="","",'Model inputs'!J10))</f>
        <v>25936</v>
      </c>
      <c r="L79" s="32" t="n">
        <f aca="false">IF(IF(IF(ISERROR(DATE(2027,10,1)=DATE(YEAR('Model inputs'!AA124),MONTH('Model inputs'!AA124),1)),DATE(2027,10,1)=DATE(YEAR('Model inputs'!AA124),MONTH('Model inputs'!AA124),1),IF(DATE(YEAR('Model inputs'!AA124),MONTH('Model inputs'!AA124),1)="","",DATE(2027,10,1)=DATE(YEAR('Model inputs'!AA124),MONTH('Model inputs'!AA124),1)))="",FALSE(),IF(ISERROR(DATE(2027,10,1)=DATE(YEAR('Model inputs'!AA124),MONTH('Model inputs'!AA124),1)),DATE(2027,10,1)=DATE(YEAR('Model inputs'!AA124),MONTH('Model inputs'!AA124),1),IF(DATE(YEAR('Model inputs'!AA124),MONTH('Model inputs'!AA124),1)="","",DATE(2027,10,1)=DATE(YEAR('Model inputs'!AA124),MONTH('Model inputs'!AA124),1)))),IF('Model inputs'!AA109="","",'Model inputs'!AA109),IF('Model inputs'!K10="","",'Model inputs'!K10))</f>
        <v>28196</v>
      </c>
      <c r="M79" s="32" t="n">
        <f aca="false">IF(IF(IF(ISERROR(DATE(2027,11,1)=DATE(YEAR('Model inputs'!AA124),MONTH('Model inputs'!AA124),1)),DATE(2027,11,1)=DATE(YEAR('Model inputs'!AA124),MONTH('Model inputs'!AA124),1),IF(DATE(YEAR('Model inputs'!AA124),MONTH('Model inputs'!AA124),1)="","",DATE(2027,11,1)=DATE(YEAR('Model inputs'!AA124),MONTH('Model inputs'!AA124),1)))="",FALSE(),IF(ISERROR(DATE(2027,11,1)=DATE(YEAR('Model inputs'!AA124),MONTH('Model inputs'!AA124),1)),DATE(2027,11,1)=DATE(YEAR('Model inputs'!AA124),MONTH('Model inputs'!AA124),1),IF(DATE(YEAR('Model inputs'!AA124),MONTH('Model inputs'!AA124),1)="","",DATE(2027,11,1)=DATE(YEAR('Model inputs'!AA124),MONTH('Model inputs'!AA124),1)))),IF('Model inputs'!AA109="","",'Model inputs'!AA109),IF('Model inputs'!L10="","",'Model inputs'!L10))</f>
        <v>30456</v>
      </c>
      <c r="N79" s="32" t="n">
        <f aca="false">IF(IF(IF(ISERROR(DATE(2027,12,1)=DATE(YEAR('Model inputs'!AA124),MONTH('Model inputs'!AA124),1)),DATE(2027,12,1)=DATE(YEAR('Model inputs'!AA124),MONTH('Model inputs'!AA124),1),IF(DATE(YEAR('Model inputs'!AA124),MONTH('Model inputs'!AA124),1)="","",DATE(2027,12,1)=DATE(YEAR('Model inputs'!AA124),MONTH('Model inputs'!AA124),1)))="",FALSE(),IF(ISERROR(DATE(2027,12,1)=DATE(YEAR('Model inputs'!AA124),MONTH('Model inputs'!AA124),1)),DATE(2027,12,1)=DATE(YEAR('Model inputs'!AA124),MONTH('Model inputs'!AA124),1),IF(DATE(YEAR('Model inputs'!AA124),MONTH('Model inputs'!AA124),1)="","",DATE(2027,12,1)=DATE(YEAR('Model inputs'!AA124),MONTH('Model inputs'!AA124),1)))),IF('Model inputs'!AA109="","",'Model inputs'!AA109),IF('Model inputs'!M10="","",'Model inputs'!M10))</f>
        <v>32716</v>
      </c>
      <c r="O79" s="32" t="n">
        <v>0</v>
      </c>
      <c r="P79" s="32" t="n">
        <v>0</v>
      </c>
      <c r="Q79" s="32" t="n">
        <v>0</v>
      </c>
      <c r="R79" s="32" t="n">
        <v>0</v>
      </c>
      <c r="S79" s="32" t="n">
        <v>0</v>
      </c>
      <c r="T79" s="32" t="n">
        <v>0</v>
      </c>
      <c r="U79" s="32" t="n">
        <v>0</v>
      </c>
      <c r="V79" s="32" t="n">
        <v>0</v>
      </c>
      <c r="W79" s="32" t="n">
        <v>0</v>
      </c>
      <c r="X79" s="32" t="n">
        <f aca="false">IF(IF(IF(ISERROR(DATE(2026,10,1)=DATE(YEAR('Model inputs'!AA124),MONTH('Model inputs'!AA124),1)),DATE(2026,10,1)=DATE(YEAR('Model inputs'!AA124),MONTH('Model inputs'!AA124),1),IF(DATE(YEAR('Model inputs'!AA124),MONTH('Model inputs'!AA124),1)="","",DATE(2026,10,1)=DATE(YEAR('Model inputs'!AA124),MONTH('Model inputs'!AA124),1)))="",FALSE(),IF(ISERROR(DATE(2026,10,1)=DATE(YEAR('Model inputs'!AA124),MONTH('Model inputs'!AA124),1)),DATE(2026,10,1)=DATE(YEAR('Model inputs'!AA124),MONTH('Model inputs'!AA124),1),IF(DATE(YEAR('Model inputs'!AA124),MONTH('Model inputs'!AA124),1)="","",DATE(2026,10,1)=DATE(YEAR('Model inputs'!AA124),MONTH('Model inputs'!AA124),1)))),IF('Model inputs'!AA109="","",'Model inputs'!AA109),IF('Model inputs'!W10="","",'Model inputs'!W10))</f>
        <v>0</v>
      </c>
      <c r="Y79" s="32" t="n">
        <f aca="false">IF(IF(IF(ISERROR(DATE(2026,11,1)=DATE(YEAR('Model inputs'!AA124),MONTH('Model inputs'!AA124),1)),DATE(2026,11,1)=DATE(YEAR('Model inputs'!AA124),MONTH('Model inputs'!AA124),1),IF(DATE(YEAR('Model inputs'!AA124),MONTH('Model inputs'!AA124),1)="","",DATE(2026,11,1)=DATE(YEAR('Model inputs'!AA124),MONTH('Model inputs'!AA124),1)))="",FALSE(),IF(ISERROR(DATE(2026,11,1)=DATE(YEAR('Model inputs'!AA124),MONTH('Model inputs'!AA124),1)),DATE(2026,11,1)=DATE(YEAR('Model inputs'!AA124),MONTH('Model inputs'!AA124),1),IF(DATE(YEAR('Model inputs'!AA124),MONTH('Model inputs'!AA124),1)="","",DATE(2026,11,1)=DATE(YEAR('Model inputs'!AA124),MONTH('Model inputs'!AA124),1)))),IF('Model inputs'!AA109="","",'Model inputs'!AA109),IF('Model inputs'!X10="","",'Model inputs'!X10))</f>
        <v>-500</v>
      </c>
    </row>
    <row r="80" customFormat="false" ht="18" hidden="false" customHeight="false" outlineLevel="0" collapsed="false">
      <c r="A80" s="41" t="s">
        <v>257</v>
      </c>
      <c r="AA80" s="21" t="n">
        <f aca="false">3</f>
        <v>3</v>
      </c>
    </row>
    <row r="81" customFormat="false" ht="18" hidden="false" customHeight="false" outlineLevel="0" collapsed="false">
      <c r="A81" s="41" t="s">
        <v>258</v>
      </c>
      <c r="AA81" s="21" t="n">
        <f aca="false">3</f>
        <v>3</v>
      </c>
    </row>
    <row r="82" customFormat="false" ht="18" hidden="false" customHeight="false" outlineLevel="0" collapsed="false">
      <c r="A82" s="41" t="s">
        <v>259</v>
      </c>
      <c r="AA82" s="21" t="n">
        <f aca="false">3</f>
        <v>3</v>
      </c>
    </row>
    <row r="83" customFormat="false" ht="18" hidden="false" customHeight="false" outlineLevel="0" collapsed="false">
      <c r="A83" s="41" t="s">
        <v>260</v>
      </c>
      <c r="AA83" s="21" t="n">
        <f aca="false">3</f>
        <v>3</v>
      </c>
    </row>
    <row r="84" customFormat="false" ht="18" hidden="false" customHeight="false" outlineLevel="0" collapsed="false">
      <c r="A84" s="41" t="s">
        <v>261</v>
      </c>
      <c r="AA84" s="21" t="n">
        <f aca="false">3</f>
        <v>3</v>
      </c>
    </row>
    <row r="85" customFormat="false" ht="18" hidden="false" customHeight="false" outlineLevel="0" collapsed="false">
      <c r="A85" s="41" t="s">
        <v>262</v>
      </c>
      <c r="AA85" s="21" t="n">
        <f aca="false">3</f>
        <v>3</v>
      </c>
    </row>
    <row r="86" customFormat="false" ht="18" hidden="false" customHeight="false" outlineLevel="0" collapsed="false">
      <c r="A86" s="41" t="s">
        <v>263</v>
      </c>
      <c r="AA86" s="21" t="n">
        <f aca="false">3</f>
        <v>3</v>
      </c>
    </row>
    <row r="87" customFormat="false" ht="18" hidden="false" customHeight="false" outlineLevel="0" collapsed="false">
      <c r="A87" s="41" t="s">
        <v>264</v>
      </c>
      <c r="AA87" s="21" t="n">
        <f aca="false">3</f>
        <v>3</v>
      </c>
    </row>
    <row r="88" customFormat="false" ht="18" hidden="false" customHeight="false" outlineLevel="0" collapsed="false">
      <c r="A88" s="41" t="s">
        <v>265</v>
      </c>
      <c r="B88" s="32" t="n">
        <f aca="false">'Model inputs'!B52+'Model inputs'!B116</f>
        <v>500</v>
      </c>
      <c r="C88" s="32" t="n">
        <f aca="false">'Model inputs'!C52+'Model inputs'!C116</f>
        <v>530</v>
      </c>
      <c r="D88" s="32" t="n">
        <f aca="false">'Model inputs'!D52+'Model inputs'!D116</f>
        <v>620</v>
      </c>
      <c r="E88" s="32" t="n">
        <f aca="false">'Model inputs'!E52+'Model inputs'!E116</f>
        <v>770</v>
      </c>
      <c r="F88" s="32" t="n">
        <f aca="false">'Model inputs'!F52+'Model inputs'!F116</f>
        <v>920</v>
      </c>
      <c r="G88" s="32" t="n">
        <f aca="false">'Model inputs'!G52+'Model inputs'!G116</f>
        <v>1100</v>
      </c>
      <c r="H88" s="32" t="n">
        <f aca="false">'Model inputs'!H52+'Model inputs'!H116</f>
        <v>1280</v>
      </c>
      <c r="I88" s="32" t="n">
        <f aca="false">'Model inputs'!I52+'Model inputs'!I116</f>
        <v>1460</v>
      </c>
      <c r="J88" s="32" t="n">
        <f aca="false">'Model inputs'!J52+'Model inputs'!J116</f>
        <v>1640</v>
      </c>
      <c r="K88" s="32" t="n">
        <f aca="false">'Model inputs'!K52+'Model inputs'!K116</f>
        <v>1700</v>
      </c>
      <c r="L88" s="32" t="n">
        <f aca="false">'Model inputs'!L52+'Model inputs'!L116</f>
        <v>1700</v>
      </c>
      <c r="M88" s="32" t="n">
        <f aca="false">'Model inputs'!M52+'Model inputs'!M116</f>
        <v>1700</v>
      </c>
      <c r="N88" s="32" t="n">
        <f aca="false">'Model inputs'!N52+'Model inputs'!N116</f>
        <v>1700</v>
      </c>
      <c r="O88" s="32" t="n">
        <v>0</v>
      </c>
      <c r="P88" s="32" t="n">
        <v>0</v>
      </c>
      <c r="Q88" s="32" t="n">
        <v>0</v>
      </c>
      <c r="R88" s="32" t="n">
        <v>0</v>
      </c>
      <c r="S88" s="32" t="n">
        <v>0</v>
      </c>
      <c r="T88" s="32" t="n">
        <v>0</v>
      </c>
      <c r="U88" s="32" t="n">
        <v>0</v>
      </c>
      <c r="V88" s="32" t="n">
        <v>0</v>
      </c>
      <c r="W88" s="32" t="n">
        <v>0</v>
      </c>
      <c r="X88" s="32" t="n">
        <f aca="false">'Model inputs'!X52+'Model inputs'!X116</f>
        <v>500</v>
      </c>
      <c r="Y88" s="32" t="n">
        <f aca="false">'Model inputs'!Y52+'Model inputs'!Y116</f>
        <v>500</v>
      </c>
    </row>
    <row r="89" customFormat="false" ht="18" hidden="false" customHeight="false" outlineLevel="0" collapsed="false">
      <c r="A89" s="41" t="s">
        <v>266</v>
      </c>
      <c r="B89" s="32" t="n">
        <f aca="false">'Model inputs'!B54+'Model inputs'!B117</f>
        <v>400</v>
      </c>
      <c r="C89" s="32" t="n">
        <f aca="false">'Model inputs'!C54+'Model inputs'!C117</f>
        <v>430</v>
      </c>
      <c r="D89" s="32" t="n">
        <f aca="false">'Model inputs'!D54+'Model inputs'!D117</f>
        <v>520</v>
      </c>
      <c r="E89" s="32" t="n">
        <f aca="false">'Model inputs'!E54+'Model inputs'!E117</f>
        <v>670</v>
      </c>
      <c r="F89" s="32" t="n">
        <f aca="false">'Model inputs'!F54+'Model inputs'!F117</f>
        <v>820</v>
      </c>
      <c r="G89" s="32" t="n">
        <f aca="false">'Model inputs'!G54+'Model inputs'!G117</f>
        <v>1000</v>
      </c>
      <c r="H89" s="32" t="n">
        <f aca="false">'Model inputs'!H54+'Model inputs'!H117</f>
        <v>1180</v>
      </c>
      <c r="I89" s="32" t="n">
        <f aca="false">'Model inputs'!I54+'Model inputs'!I117</f>
        <v>1360</v>
      </c>
      <c r="J89" s="32" t="n">
        <f aca="false">'Model inputs'!J54+'Model inputs'!J117</f>
        <v>1540</v>
      </c>
      <c r="K89" s="32" t="n">
        <f aca="false">'Model inputs'!K54+'Model inputs'!K117</f>
        <v>1600</v>
      </c>
      <c r="L89" s="32" t="n">
        <f aca="false">'Model inputs'!L54+'Model inputs'!L117</f>
        <v>1600</v>
      </c>
      <c r="M89" s="32" t="n">
        <f aca="false">'Model inputs'!M54+'Model inputs'!M117</f>
        <v>1600</v>
      </c>
      <c r="N89" s="32" t="n">
        <f aca="false">'Model inputs'!N54+'Model inputs'!N117</f>
        <v>1600</v>
      </c>
      <c r="O89" s="32" t="n">
        <v>0</v>
      </c>
      <c r="P89" s="32" t="n">
        <v>0</v>
      </c>
      <c r="Q89" s="32" t="n">
        <v>0</v>
      </c>
      <c r="R89" s="32" t="n">
        <v>0</v>
      </c>
      <c r="S89" s="32" t="n">
        <v>0</v>
      </c>
      <c r="T89" s="32" t="n">
        <v>0</v>
      </c>
      <c r="U89" s="32" t="n">
        <v>0</v>
      </c>
      <c r="V89" s="32" t="n">
        <v>0</v>
      </c>
      <c r="W89" s="32" t="n">
        <v>0</v>
      </c>
      <c r="X89" s="32" t="n">
        <f aca="false">'Model inputs'!X54+'Model inputs'!X117</f>
        <v>400</v>
      </c>
      <c r="Y89" s="32" t="n">
        <f aca="false">'Model inputs'!Y54+'Model inputs'!Y117</f>
        <v>400</v>
      </c>
    </row>
    <row r="90" customFormat="false" ht="18" hidden="false" customHeight="false" outlineLevel="0" collapsed="false">
      <c r="A90" s="41" t="s">
        <v>267</v>
      </c>
      <c r="B90" s="32" t="n">
        <f aca="false">'Model inputs'!B56+'Model inputs'!B118</f>
        <v>500</v>
      </c>
      <c r="C90" s="32" t="n">
        <f aca="false">'Model inputs'!C56+'Model inputs'!C118</f>
        <v>530</v>
      </c>
      <c r="D90" s="32" t="n">
        <f aca="false">'Model inputs'!D56+'Model inputs'!D118</f>
        <v>620</v>
      </c>
      <c r="E90" s="32" t="n">
        <f aca="false">'Model inputs'!E56+'Model inputs'!E118</f>
        <v>770</v>
      </c>
      <c r="F90" s="32" t="n">
        <f aca="false">'Model inputs'!F56+'Model inputs'!F118</f>
        <v>920</v>
      </c>
      <c r="G90" s="32" t="n">
        <f aca="false">'Model inputs'!G56+'Model inputs'!G118</f>
        <v>1100</v>
      </c>
      <c r="H90" s="32" t="n">
        <f aca="false">'Model inputs'!H56+'Model inputs'!H118</f>
        <v>1280</v>
      </c>
      <c r="I90" s="32" t="n">
        <f aca="false">'Model inputs'!I56+'Model inputs'!I118</f>
        <v>1460</v>
      </c>
      <c r="J90" s="32" t="n">
        <f aca="false">'Model inputs'!J56+'Model inputs'!J118</f>
        <v>1640</v>
      </c>
      <c r="K90" s="32" t="n">
        <f aca="false">'Model inputs'!K56+'Model inputs'!K118</f>
        <v>1700</v>
      </c>
      <c r="L90" s="32" t="n">
        <f aca="false">'Model inputs'!L56+'Model inputs'!L118</f>
        <v>1700</v>
      </c>
      <c r="M90" s="32" t="n">
        <f aca="false">'Model inputs'!M56+'Model inputs'!M118</f>
        <v>1700</v>
      </c>
      <c r="N90" s="32" t="n">
        <f aca="false">'Model inputs'!N56+'Model inputs'!N118</f>
        <v>1700</v>
      </c>
      <c r="O90" s="32" t="n">
        <v>0</v>
      </c>
      <c r="P90" s="32" t="n">
        <v>0</v>
      </c>
      <c r="Q90" s="32" t="n">
        <v>0</v>
      </c>
      <c r="R90" s="32" t="n">
        <v>0</v>
      </c>
      <c r="S90" s="32" t="n">
        <v>0</v>
      </c>
      <c r="T90" s="32" t="n">
        <v>0</v>
      </c>
      <c r="U90" s="32" t="n">
        <v>0</v>
      </c>
      <c r="V90" s="32" t="n">
        <v>0</v>
      </c>
      <c r="W90" s="32" t="n">
        <v>0</v>
      </c>
      <c r="X90" s="32" t="n">
        <f aca="false">'Model inputs'!X56+'Model inputs'!X118</f>
        <v>500</v>
      </c>
      <c r="Y90" s="32" t="n">
        <f aca="false">'Model inputs'!Y56+'Model inputs'!Y118</f>
        <v>500</v>
      </c>
    </row>
    <row r="91" customFormat="false" ht="18" hidden="false" customHeight="false" outlineLevel="0" collapsed="false">
      <c r="A91" s="41" t="s">
        <v>268</v>
      </c>
      <c r="B91" s="32" t="n">
        <f aca="false">'Model inputs'!B57+'Model inputs'!B119</f>
        <v>400</v>
      </c>
      <c r="C91" s="32" t="n">
        <f aca="false">'Model inputs'!C57+'Model inputs'!C119</f>
        <v>430</v>
      </c>
      <c r="D91" s="32" t="n">
        <f aca="false">'Model inputs'!D57+'Model inputs'!D119</f>
        <v>520</v>
      </c>
      <c r="E91" s="32" t="n">
        <f aca="false">'Model inputs'!E57+'Model inputs'!E119</f>
        <v>670</v>
      </c>
      <c r="F91" s="32" t="n">
        <f aca="false">'Model inputs'!F57+'Model inputs'!F119</f>
        <v>820</v>
      </c>
      <c r="G91" s="32" t="n">
        <f aca="false">'Model inputs'!G57+'Model inputs'!G119</f>
        <v>1000</v>
      </c>
      <c r="H91" s="32" t="n">
        <f aca="false">'Model inputs'!H57+'Model inputs'!H119</f>
        <v>1180</v>
      </c>
      <c r="I91" s="32" t="n">
        <f aca="false">'Model inputs'!I57+'Model inputs'!I119</f>
        <v>1360</v>
      </c>
      <c r="J91" s="32" t="n">
        <f aca="false">'Model inputs'!J57+'Model inputs'!J119</f>
        <v>1540</v>
      </c>
      <c r="K91" s="32" t="n">
        <f aca="false">'Model inputs'!K57+'Model inputs'!K119</f>
        <v>1600</v>
      </c>
      <c r="L91" s="32" t="n">
        <f aca="false">'Model inputs'!L57+'Model inputs'!L119</f>
        <v>1600</v>
      </c>
      <c r="M91" s="32" t="n">
        <f aca="false">'Model inputs'!M57+'Model inputs'!M119</f>
        <v>1600</v>
      </c>
      <c r="N91" s="32" t="n">
        <f aca="false">'Model inputs'!N57+'Model inputs'!N119</f>
        <v>1600</v>
      </c>
      <c r="O91" s="32" t="n">
        <v>0</v>
      </c>
      <c r="P91" s="32" t="n">
        <v>0</v>
      </c>
      <c r="Q91" s="32" t="n">
        <v>0</v>
      </c>
      <c r="R91" s="32" t="n">
        <v>0</v>
      </c>
      <c r="S91" s="32" t="n">
        <v>0</v>
      </c>
      <c r="T91" s="32" t="n">
        <v>0</v>
      </c>
      <c r="U91" s="32" t="n">
        <v>0</v>
      </c>
      <c r="V91" s="32" t="n">
        <v>0</v>
      </c>
      <c r="W91" s="32" t="n">
        <v>0</v>
      </c>
      <c r="X91" s="32" t="n">
        <f aca="false">'Model inputs'!X57+'Model inputs'!X119</f>
        <v>400</v>
      </c>
      <c r="Y91" s="32" t="n">
        <f aca="false">'Model inputs'!Y57+'Model inputs'!Y119</f>
        <v>400</v>
      </c>
    </row>
    <row r="92" customFormat="false" ht="18" hidden="false" customHeight="false" outlineLevel="0" collapsed="false">
      <c r="A92" s="41" t="s">
        <v>269</v>
      </c>
      <c r="B92" s="32" t="n">
        <f aca="false">'Model inputs'!B58+'Model inputs'!B120</f>
        <v>300</v>
      </c>
      <c r="C92" s="32" t="n">
        <f aca="false">'Model inputs'!C58+'Model inputs'!C120</f>
        <v>330</v>
      </c>
      <c r="D92" s="32" t="n">
        <f aca="false">'Model inputs'!D58+'Model inputs'!D120</f>
        <v>420</v>
      </c>
      <c r="E92" s="32" t="n">
        <f aca="false">'Model inputs'!E58+'Model inputs'!E120</f>
        <v>570</v>
      </c>
      <c r="F92" s="32" t="n">
        <f aca="false">'Model inputs'!F58+'Model inputs'!F120</f>
        <v>720</v>
      </c>
      <c r="G92" s="32" t="n">
        <f aca="false">'Model inputs'!G58+'Model inputs'!G120</f>
        <v>900</v>
      </c>
      <c r="H92" s="32" t="n">
        <f aca="false">'Model inputs'!H58+'Model inputs'!H120</f>
        <v>1080</v>
      </c>
      <c r="I92" s="32" t="n">
        <f aca="false">'Model inputs'!I58+'Model inputs'!I120</f>
        <v>1260</v>
      </c>
      <c r="J92" s="32" t="n">
        <f aca="false">'Model inputs'!J58+'Model inputs'!J120</f>
        <v>1440</v>
      </c>
      <c r="K92" s="32" t="n">
        <f aca="false">'Model inputs'!K58+'Model inputs'!K120</f>
        <v>1500</v>
      </c>
      <c r="L92" s="32" t="n">
        <f aca="false">'Model inputs'!L58+'Model inputs'!L120</f>
        <v>1500</v>
      </c>
      <c r="M92" s="32" t="n">
        <f aca="false">'Model inputs'!M58+'Model inputs'!M120</f>
        <v>1500</v>
      </c>
      <c r="N92" s="32" t="n">
        <f aca="false">'Model inputs'!N58+'Model inputs'!N120</f>
        <v>1500</v>
      </c>
      <c r="O92" s="32" t="n">
        <v>0</v>
      </c>
      <c r="P92" s="32" t="n">
        <v>0</v>
      </c>
      <c r="Q92" s="32" t="n">
        <v>0</v>
      </c>
      <c r="R92" s="32" t="n">
        <v>0</v>
      </c>
      <c r="S92" s="32" t="n">
        <v>0</v>
      </c>
      <c r="T92" s="32" t="n">
        <v>0</v>
      </c>
      <c r="U92" s="32" t="n">
        <v>0</v>
      </c>
      <c r="V92" s="32" t="n">
        <v>0</v>
      </c>
      <c r="W92" s="32" t="n">
        <v>0</v>
      </c>
      <c r="X92" s="32" t="n">
        <f aca="false">'Model inputs'!X58+'Model inputs'!X120</f>
        <v>300</v>
      </c>
      <c r="Y92" s="32" t="n">
        <f aca="false">'Model inputs'!Y58+'Model inputs'!Y120</f>
        <v>300</v>
      </c>
    </row>
    <row r="93" customFormat="false" ht="18" hidden="false" customHeight="false" outlineLevel="0" collapsed="false">
      <c r="A93" s="41" t="s">
        <v>270</v>
      </c>
      <c r="B93" s="32" t="n">
        <f aca="false">'Model inputs'!B59+'Model inputs'!B121</f>
        <v>300</v>
      </c>
      <c r="C93" s="32" t="n">
        <f aca="false">'Model inputs'!C59+'Model inputs'!C121</f>
        <v>330</v>
      </c>
      <c r="D93" s="32" t="n">
        <f aca="false">'Model inputs'!D59+'Model inputs'!D121</f>
        <v>420</v>
      </c>
      <c r="E93" s="32" t="n">
        <f aca="false">'Model inputs'!E59+'Model inputs'!E121</f>
        <v>570</v>
      </c>
      <c r="F93" s="32" t="n">
        <f aca="false">'Model inputs'!F59+'Model inputs'!F121</f>
        <v>720</v>
      </c>
      <c r="G93" s="32" t="n">
        <f aca="false">'Model inputs'!G59+'Model inputs'!G121</f>
        <v>900</v>
      </c>
      <c r="H93" s="32" t="n">
        <f aca="false">'Model inputs'!H59+'Model inputs'!H121</f>
        <v>1080</v>
      </c>
      <c r="I93" s="32" t="n">
        <f aca="false">'Model inputs'!I59+'Model inputs'!I121</f>
        <v>1260</v>
      </c>
      <c r="J93" s="32" t="n">
        <f aca="false">'Model inputs'!J59+'Model inputs'!J121</f>
        <v>1440</v>
      </c>
      <c r="K93" s="32" t="n">
        <f aca="false">'Model inputs'!K59+'Model inputs'!K121</f>
        <v>1500</v>
      </c>
      <c r="L93" s="32" t="n">
        <f aca="false">'Model inputs'!L59+'Model inputs'!L121</f>
        <v>1500</v>
      </c>
      <c r="M93" s="32" t="n">
        <f aca="false">'Model inputs'!M59+'Model inputs'!M121</f>
        <v>1500</v>
      </c>
      <c r="N93" s="32" t="n">
        <f aca="false">'Model inputs'!N59+'Model inputs'!N121</f>
        <v>1500</v>
      </c>
      <c r="O93" s="32" t="n">
        <v>0</v>
      </c>
      <c r="P93" s="32" t="n">
        <v>0</v>
      </c>
      <c r="Q93" s="32" t="n">
        <v>0</v>
      </c>
      <c r="R93" s="32" t="n">
        <v>0</v>
      </c>
      <c r="S93" s="32" t="n">
        <v>0</v>
      </c>
      <c r="T93" s="32" t="n">
        <v>0</v>
      </c>
      <c r="U93" s="32" t="n">
        <v>0</v>
      </c>
      <c r="V93" s="32" t="n">
        <v>0</v>
      </c>
      <c r="W93" s="32" t="n">
        <v>0</v>
      </c>
      <c r="X93" s="32" t="n">
        <f aca="false">'Model inputs'!X59+'Model inputs'!X121</f>
        <v>300</v>
      </c>
      <c r="Y93" s="32" t="n">
        <f aca="false">'Model inputs'!Y59+'Model inputs'!Y121</f>
        <v>300</v>
      </c>
    </row>
    <row r="94" customFormat="false" ht="18" hidden="false" customHeight="false" outlineLevel="0" collapsed="false">
      <c r="A94" s="41" t="s">
        <v>271</v>
      </c>
      <c r="AA94" s="21" t="n">
        <f aca="false">10</f>
        <v>10</v>
      </c>
    </row>
    <row r="95" customFormat="false" ht="18" hidden="false" customHeight="false" outlineLevel="0" collapsed="false">
      <c r="A95" s="41" t="s">
        <v>272</v>
      </c>
      <c r="AA95" s="21" t="n">
        <f aca="false">10</f>
        <v>10</v>
      </c>
    </row>
    <row r="96" customFormat="false" ht="18" hidden="false" customHeight="false" outlineLevel="0" collapsed="false">
      <c r="A96" s="41" t="s">
        <v>273</v>
      </c>
      <c r="AA96" s="21" t="n">
        <f aca="false">10</f>
        <v>10</v>
      </c>
    </row>
    <row r="97" customFormat="false" ht="18" hidden="false" customHeight="false" outlineLevel="0" collapsed="false">
      <c r="A97" s="41" t="s">
        <v>274</v>
      </c>
      <c r="AA97" s="21" t="n">
        <f aca="false">10</f>
        <v>10</v>
      </c>
    </row>
    <row r="98" customFormat="false" ht="18" hidden="false" customHeight="false" outlineLevel="0" collapsed="false">
      <c r="A98" s="41" t="s">
        <v>275</v>
      </c>
      <c r="AA98" s="21" t="n">
        <f aca="false">10</f>
        <v>10</v>
      </c>
    </row>
    <row r="99" customFormat="false" ht="18" hidden="false" customHeight="false" outlineLevel="0" collapsed="false">
      <c r="A99" s="41" t="s">
        <v>276</v>
      </c>
      <c r="AA99" s="21" t="n">
        <f aca="false">10</f>
        <v>10</v>
      </c>
    </row>
    <row r="100" customFormat="false" ht="18" hidden="false" customHeight="false" outlineLevel="0" collapsed="false">
      <c r="A100" s="41" t="s">
        <v>277</v>
      </c>
      <c r="AA100" s="21" t="n">
        <f aca="false">10</f>
        <v>10</v>
      </c>
    </row>
    <row r="101" customFormat="false" ht="18" hidden="false" customHeight="false" outlineLevel="0" collapsed="false">
      <c r="A101" s="41" t="s">
        <v>278</v>
      </c>
      <c r="AA101" s="21" t="n">
        <f aca="false">10</f>
        <v>10</v>
      </c>
    </row>
    <row r="102" customFormat="false" ht="18" hidden="false" customHeight="false" outlineLevel="0" collapsed="false">
      <c r="A102" s="41" t="s">
        <v>279</v>
      </c>
      <c r="B102" s="32" t="n">
        <f aca="false">'Model inputs'!B110*'Model inputs'!AA112*'Model inputs'!AA111</f>
        <v>0</v>
      </c>
      <c r="C102" s="32" t="n">
        <f aca="false">'Model inputs'!C110*'Model inputs'!AA112*'Model inputs'!AA111</f>
        <v>30</v>
      </c>
      <c r="D102" s="32" t="n">
        <f aca="false">'Model inputs'!D110*'Model inputs'!AA112*'Model inputs'!AA111</f>
        <v>120</v>
      </c>
      <c r="E102" s="32" t="n">
        <f aca="false">'Model inputs'!E110*'Model inputs'!AA112*'Model inputs'!AA111</f>
        <v>270</v>
      </c>
      <c r="F102" s="32" t="n">
        <f aca="false">'Model inputs'!F110*'Model inputs'!AA112*'Model inputs'!AA111</f>
        <v>420</v>
      </c>
      <c r="G102" s="32" t="n">
        <f aca="false">'Model inputs'!G110*'Model inputs'!AA112*'Model inputs'!AA111</f>
        <v>600</v>
      </c>
      <c r="H102" s="32" t="n">
        <f aca="false">'Model inputs'!H110*'Model inputs'!AA112*'Model inputs'!AA111</f>
        <v>780</v>
      </c>
      <c r="I102" s="32" t="n">
        <f aca="false">'Model inputs'!I110*'Model inputs'!AA112*'Model inputs'!AA111</f>
        <v>960</v>
      </c>
      <c r="J102" s="32" t="n">
        <f aca="false">'Model inputs'!J110*'Model inputs'!AA112*'Model inputs'!AA111</f>
        <v>1140</v>
      </c>
      <c r="K102" s="32" t="n">
        <f aca="false">'Model inputs'!K110*'Model inputs'!AA112*'Model inputs'!AA111</f>
        <v>1200</v>
      </c>
      <c r="L102" s="32" t="n">
        <f aca="false">'Model inputs'!L110*'Model inputs'!AA112*'Model inputs'!AA111</f>
        <v>1200</v>
      </c>
      <c r="M102" s="32" t="n">
        <f aca="false">'Model inputs'!M110*'Model inputs'!AA112*'Model inputs'!AA111</f>
        <v>1200</v>
      </c>
      <c r="N102" s="32" t="n">
        <f aca="false">'Model inputs'!N110*'Model inputs'!AA112*'Model inputs'!AA111</f>
        <v>1200</v>
      </c>
      <c r="O102" s="32" t="n">
        <v>0</v>
      </c>
      <c r="P102" s="32" t="n">
        <v>0</v>
      </c>
      <c r="Q102" s="32" t="n">
        <v>0</v>
      </c>
      <c r="R102" s="32" t="n">
        <v>0</v>
      </c>
      <c r="S102" s="32" t="n">
        <v>0</v>
      </c>
      <c r="T102" s="32" t="n">
        <v>0</v>
      </c>
      <c r="U102" s="32" t="n">
        <v>0</v>
      </c>
      <c r="V102" s="32" t="n">
        <v>0</v>
      </c>
      <c r="W102" s="32" t="n">
        <v>0</v>
      </c>
      <c r="X102" s="32" t="n">
        <f aca="false">'Model inputs'!X110*'Model inputs'!AA112*'Model inputs'!AA111</f>
        <v>0</v>
      </c>
      <c r="Y102" s="32" t="n">
        <f aca="false">'Model inputs'!Y110*'Model inputs'!AA112*'Model inputs'!AA111</f>
        <v>0</v>
      </c>
    </row>
    <row r="103" customFormat="false" ht="18" hidden="false" customHeight="false" outlineLevel="0" collapsed="false">
      <c r="A103" s="41" t="s">
        <v>280</v>
      </c>
      <c r="B103" s="32" t="n">
        <f aca="false">'Model inputs'!AA113/12</f>
        <v>400</v>
      </c>
      <c r="C103" s="32" t="n">
        <f aca="false">'Model inputs'!AA113/12</f>
        <v>400</v>
      </c>
      <c r="D103" s="32" t="n">
        <f aca="false">'Model inputs'!AA113/12</f>
        <v>400</v>
      </c>
      <c r="E103" s="32" t="n">
        <f aca="false">'Model inputs'!AA113/12</f>
        <v>400</v>
      </c>
      <c r="F103" s="32" t="n">
        <f aca="false">'Model inputs'!AA113/12</f>
        <v>400</v>
      </c>
      <c r="G103" s="32" t="n">
        <f aca="false">'Model inputs'!AA113/12</f>
        <v>400</v>
      </c>
      <c r="H103" s="32" t="n">
        <f aca="false">'Model inputs'!AA113/12</f>
        <v>400</v>
      </c>
      <c r="I103" s="32" t="n">
        <f aca="false">'Model inputs'!AA113/12</f>
        <v>400</v>
      </c>
      <c r="J103" s="32" t="n">
        <f aca="false">'Model inputs'!AA113/12</f>
        <v>400</v>
      </c>
      <c r="K103" s="32" t="n">
        <f aca="false">'Model inputs'!AA113/12</f>
        <v>400</v>
      </c>
      <c r="L103" s="32" t="n">
        <f aca="false">'Model inputs'!AA113/12</f>
        <v>400</v>
      </c>
      <c r="M103" s="32" t="n">
        <f aca="false">'Model inputs'!AA113/12</f>
        <v>400</v>
      </c>
      <c r="N103" s="32" t="n">
        <f aca="false">'Model inputs'!AA113/12</f>
        <v>400</v>
      </c>
      <c r="O103" s="32" t="n">
        <v>0</v>
      </c>
      <c r="P103" s="32" t="n">
        <v>0</v>
      </c>
      <c r="Q103" s="32" t="n">
        <v>0</v>
      </c>
      <c r="R103" s="32" t="n">
        <v>0</v>
      </c>
      <c r="S103" s="32" t="n">
        <v>0</v>
      </c>
      <c r="T103" s="32" t="n">
        <v>0</v>
      </c>
      <c r="U103" s="32" t="n">
        <v>0</v>
      </c>
      <c r="V103" s="32" t="n">
        <v>0</v>
      </c>
      <c r="W103" s="32" t="n">
        <v>0</v>
      </c>
      <c r="X103" s="32" t="n">
        <f aca="false">'Model inputs'!AA113/12</f>
        <v>400</v>
      </c>
      <c r="Y103" s="32" t="n">
        <f aca="false">'Model inputs'!AA113/12</f>
        <v>400</v>
      </c>
    </row>
    <row r="104" customFormat="false" ht="18" hidden="false" customHeight="false" outlineLevel="0" collapsed="false">
      <c r="A104" s="41" t="s">
        <v>281</v>
      </c>
      <c r="B104" s="32" t="n">
        <f aca="false">'Model inputs'!AA114/12</f>
        <v>300</v>
      </c>
      <c r="C104" s="32" t="n">
        <f aca="false">'Model inputs'!AA114/12</f>
        <v>300</v>
      </c>
      <c r="D104" s="32" t="n">
        <f aca="false">'Model inputs'!AA114/12</f>
        <v>300</v>
      </c>
      <c r="E104" s="32" t="n">
        <f aca="false">'Model inputs'!AA114/12</f>
        <v>300</v>
      </c>
      <c r="F104" s="32" t="n">
        <f aca="false">'Model inputs'!AA114/12</f>
        <v>300</v>
      </c>
      <c r="G104" s="32" t="n">
        <f aca="false">'Model inputs'!AA114/12</f>
        <v>300</v>
      </c>
      <c r="H104" s="32" t="n">
        <f aca="false">'Model inputs'!AA114/12</f>
        <v>300</v>
      </c>
      <c r="I104" s="32" t="n">
        <f aca="false">'Model inputs'!AA114/12</f>
        <v>300</v>
      </c>
      <c r="J104" s="32" t="n">
        <f aca="false">'Model inputs'!AA114/12</f>
        <v>300</v>
      </c>
      <c r="K104" s="32" t="n">
        <f aca="false">'Model inputs'!AA114/12</f>
        <v>300</v>
      </c>
      <c r="L104" s="32" t="n">
        <f aca="false">'Model inputs'!AA114/12</f>
        <v>300</v>
      </c>
      <c r="M104" s="32" t="n">
        <f aca="false">'Model inputs'!AA114/12</f>
        <v>300</v>
      </c>
      <c r="N104" s="32" t="n">
        <f aca="false">'Model inputs'!AA114/12</f>
        <v>300</v>
      </c>
      <c r="O104" s="32" t="n">
        <v>0</v>
      </c>
      <c r="P104" s="32" t="n">
        <v>0</v>
      </c>
      <c r="Q104" s="32" t="n">
        <v>0</v>
      </c>
      <c r="R104" s="32" t="n">
        <v>0</v>
      </c>
      <c r="S104" s="32" t="n">
        <v>0</v>
      </c>
      <c r="T104" s="32" t="n">
        <v>0</v>
      </c>
      <c r="U104" s="32" t="n">
        <v>0</v>
      </c>
      <c r="V104" s="32" t="n">
        <v>0</v>
      </c>
      <c r="W104" s="32" t="n">
        <v>0</v>
      </c>
      <c r="X104" s="32" t="n">
        <f aca="false">'Model inputs'!AA114/12</f>
        <v>300</v>
      </c>
      <c r="Y104" s="32" t="n">
        <f aca="false">'Model inputs'!AA114/12</f>
        <v>300</v>
      </c>
    </row>
    <row r="105" customFormat="false" ht="18" hidden="false" customHeight="false" outlineLevel="0" collapsed="false">
      <c r="A105" s="41" t="s">
        <v>282</v>
      </c>
      <c r="B105" s="32" t="n">
        <f aca="false">'Model inputs'!AA115/12</f>
        <v>500</v>
      </c>
      <c r="C105" s="32" t="n">
        <f aca="false">'Model inputs'!AA115/12</f>
        <v>500</v>
      </c>
      <c r="D105" s="32" t="n">
        <f aca="false">'Model inputs'!AA115/12</f>
        <v>500</v>
      </c>
      <c r="E105" s="32" t="n">
        <f aca="false">'Model inputs'!AA115/12</f>
        <v>500</v>
      </c>
      <c r="F105" s="32" t="n">
        <f aca="false">'Model inputs'!AA115/12</f>
        <v>500</v>
      </c>
      <c r="G105" s="32" t="n">
        <f aca="false">'Model inputs'!AA115/12</f>
        <v>500</v>
      </c>
      <c r="H105" s="32" t="n">
        <f aca="false">'Model inputs'!AA115/12</f>
        <v>500</v>
      </c>
      <c r="I105" s="32" t="n">
        <f aca="false">'Model inputs'!AA115/12</f>
        <v>500</v>
      </c>
      <c r="J105" s="32" t="n">
        <f aca="false">'Model inputs'!AA115/12</f>
        <v>500</v>
      </c>
      <c r="K105" s="32" t="n">
        <f aca="false">'Model inputs'!AA115/12</f>
        <v>500</v>
      </c>
      <c r="L105" s="32" t="n">
        <f aca="false">'Model inputs'!AA115/12</f>
        <v>500</v>
      </c>
      <c r="M105" s="32" t="n">
        <f aca="false">'Model inputs'!AA115/12</f>
        <v>500</v>
      </c>
      <c r="N105" s="32" t="n">
        <f aca="false">'Model inputs'!AA115/12</f>
        <v>500</v>
      </c>
      <c r="O105" s="32" t="n">
        <v>0</v>
      </c>
      <c r="P105" s="32" t="n">
        <v>0</v>
      </c>
      <c r="Q105" s="32" t="n">
        <v>0</v>
      </c>
      <c r="R105" s="32" t="n">
        <v>0</v>
      </c>
      <c r="S105" s="32" t="n">
        <v>0</v>
      </c>
      <c r="T105" s="32" t="n">
        <v>0</v>
      </c>
      <c r="U105" s="32" t="n">
        <v>0</v>
      </c>
      <c r="V105" s="32" t="n">
        <v>0</v>
      </c>
      <c r="W105" s="32" t="n">
        <v>0</v>
      </c>
      <c r="X105" s="32" t="n">
        <f aca="false">'Model inputs'!AA115/12</f>
        <v>500</v>
      </c>
      <c r="Y105" s="32" t="n">
        <f aca="false">'Model inputs'!AA115/12</f>
        <v>500</v>
      </c>
    </row>
    <row r="106" customFormat="false" ht="18" hidden="false" customHeight="false" outlineLevel="0" collapsed="false">
      <c r="A106" s="41" t="s">
        <v>283</v>
      </c>
      <c r="B106" s="32" t="n">
        <f aca="false">'Model inputs'!B110*'Model inputs'!AA127</f>
        <v>0</v>
      </c>
      <c r="C106" s="32" t="n">
        <f aca="false">'Model inputs'!C110*'Model inputs'!AA127</f>
        <v>99</v>
      </c>
      <c r="D106" s="32" t="n">
        <f aca="false">'Model inputs'!D110*'Model inputs'!AA127</f>
        <v>396</v>
      </c>
      <c r="E106" s="32" t="n">
        <f aca="false">'Model inputs'!E110*'Model inputs'!AA127</f>
        <v>891</v>
      </c>
      <c r="F106" s="32" t="n">
        <f aca="false">'Model inputs'!F110*'Model inputs'!AA127</f>
        <v>1386</v>
      </c>
      <c r="G106" s="32" t="n">
        <f aca="false">'Model inputs'!G110*'Model inputs'!AA127</f>
        <v>1980</v>
      </c>
      <c r="H106" s="32" t="n">
        <f aca="false">'Model inputs'!H110*'Model inputs'!AA127</f>
        <v>2574</v>
      </c>
      <c r="I106" s="32" t="n">
        <f aca="false">'Model inputs'!I110*'Model inputs'!AA127</f>
        <v>3168</v>
      </c>
      <c r="J106" s="32" t="n">
        <f aca="false">'Model inputs'!J110*'Model inputs'!AA127</f>
        <v>3762</v>
      </c>
      <c r="K106" s="32" t="n">
        <f aca="false">'Model inputs'!K110*'Model inputs'!AA127</f>
        <v>3960</v>
      </c>
      <c r="L106" s="32" t="n">
        <f aca="false">'Model inputs'!L110*'Model inputs'!AA127</f>
        <v>3960</v>
      </c>
      <c r="M106" s="32" t="n">
        <f aca="false">'Model inputs'!M110*'Model inputs'!AA127</f>
        <v>3960</v>
      </c>
      <c r="N106" s="32" t="n">
        <f aca="false">'Model inputs'!N110*'Model inputs'!AA127</f>
        <v>3960</v>
      </c>
      <c r="O106" s="32" t="n">
        <v>0</v>
      </c>
      <c r="P106" s="32" t="n">
        <v>0</v>
      </c>
      <c r="Q106" s="32" t="n">
        <v>0</v>
      </c>
      <c r="R106" s="32" t="n">
        <v>0</v>
      </c>
      <c r="S106" s="32" t="n">
        <v>0</v>
      </c>
      <c r="T106" s="32" t="n">
        <v>0</v>
      </c>
      <c r="U106" s="32" t="n">
        <v>0</v>
      </c>
      <c r="V106" s="32" t="n">
        <v>0</v>
      </c>
      <c r="W106" s="32" t="n">
        <v>0</v>
      </c>
      <c r="X106" s="32" t="n">
        <f aca="false">'Model inputs'!X110*'Model inputs'!AA127</f>
        <v>0</v>
      </c>
      <c r="Y106" s="32" t="n">
        <f aca="false">'Model inputs'!Y110*'Model inputs'!AA127</f>
        <v>0</v>
      </c>
    </row>
    <row r="107" customFormat="false" ht="18" hidden="false" customHeight="false" outlineLevel="0" collapsed="false">
      <c r="A107" s="41" t="s">
        <v>284</v>
      </c>
      <c r="AA107" s="21" t="n">
        <f aca="false">20000</f>
        <v>20000</v>
      </c>
    </row>
    <row r="108" customFormat="false" ht="18" hidden="false" customHeight="false" outlineLevel="0" collapsed="false">
      <c r="A108" s="41" t="s">
        <v>285</v>
      </c>
      <c r="AA108" s="21" t="n">
        <f aca="false">20000</f>
        <v>20000</v>
      </c>
    </row>
    <row r="109" customFormat="false" ht="18" hidden="false" customHeight="false" outlineLevel="0" collapsed="false">
      <c r="A109" s="41" t="s">
        <v>286</v>
      </c>
      <c r="AA109" s="21" t="n">
        <f aca="false">20000</f>
        <v>20000</v>
      </c>
    </row>
    <row r="110" customFormat="false" ht="18" hidden="false" customHeight="false" outlineLevel="0" collapsed="false">
      <c r="A110" s="41" t="s">
        <v>287</v>
      </c>
      <c r="B110" s="21" t="n">
        <v>0</v>
      </c>
      <c r="C110" s="21" t="n">
        <f aca="false">1</f>
        <v>1</v>
      </c>
      <c r="D110" s="21" t="n">
        <f aca="false">4</f>
        <v>4</v>
      </c>
      <c r="E110" s="21" t="n">
        <f aca="false">9</f>
        <v>9</v>
      </c>
      <c r="F110" s="21" t="n">
        <f aca="false">14</f>
        <v>14</v>
      </c>
      <c r="G110" s="21" t="n">
        <f aca="false">20</f>
        <v>20</v>
      </c>
      <c r="H110" s="21" t="n">
        <f aca="false">26</f>
        <v>26</v>
      </c>
      <c r="I110" s="21" t="n">
        <f aca="false">32</f>
        <v>32</v>
      </c>
      <c r="J110" s="21" t="n">
        <f aca="false">38</f>
        <v>38</v>
      </c>
      <c r="K110" s="21" t="n">
        <f aca="false">40</f>
        <v>40</v>
      </c>
      <c r="L110" s="21" t="n">
        <f aca="false">40</f>
        <v>40</v>
      </c>
      <c r="M110" s="21" t="n">
        <f aca="false">40</f>
        <v>40</v>
      </c>
      <c r="N110" s="21" t="n">
        <f aca="false">40</f>
        <v>40</v>
      </c>
      <c r="O110" s="21" t="n">
        <v>0</v>
      </c>
      <c r="P110" s="21" t="n">
        <v>0</v>
      </c>
      <c r="Q110" s="21" t="n">
        <v>0</v>
      </c>
      <c r="R110" s="21" t="n">
        <v>0</v>
      </c>
      <c r="S110" s="21" t="n">
        <v>0</v>
      </c>
      <c r="T110" s="21" t="n">
        <v>0</v>
      </c>
      <c r="U110" s="21" t="n">
        <v>0</v>
      </c>
      <c r="V110" s="21" t="n">
        <v>0</v>
      </c>
      <c r="W110" s="21" t="n">
        <v>0</v>
      </c>
      <c r="X110" s="21" t="n">
        <v>0</v>
      </c>
      <c r="Y110" s="21" t="n">
        <v>0</v>
      </c>
    </row>
    <row r="111" customFormat="false" ht="18" hidden="false" customHeight="false" outlineLevel="0" collapsed="false">
      <c r="A111" s="41" t="s">
        <v>288</v>
      </c>
      <c r="AA111" s="21" t="n">
        <f aca="false">3</f>
        <v>3</v>
      </c>
    </row>
    <row r="112" customFormat="false" ht="18" hidden="false" customHeight="false" outlineLevel="0" collapsed="false">
      <c r="A112" s="41" t="s">
        <v>289</v>
      </c>
      <c r="AA112" s="21" t="n">
        <f aca="false">10</f>
        <v>10</v>
      </c>
    </row>
    <row r="113" customFormat="false" ht="18" hidden="false" customHeight="false" outlineLevel="0" collapsed="false">
      <c r="A113" s="41" t="s">
        <v>290</v>
      </c>
      <c r="AA113" s="21" t="n">
        <f aca="false">'Fixed Cost Sensitivity'!D5</f>
        <v>4800</v>
      </c>
    </row>
    <row r="114" customFormat="false" ht="18" hidden="false" customHeight="false" outlineLevel="0" collapsed="false">
      <c r="A114" s="41" t="s">
        <v>291</v>
      </c>
      <c r="AA114" s="21" t="n">
        <f aca="false">'Fixed Cost Sensitivity'!C5</f>
        <v>3600</v>
      </c>
    </row>
    <row r="115" customFormat="false" ht="18" hidden="false" customHeight="false" outlineLevel="0" collapsed="false">
      <c r="A115" s="41" t="s">
        <v>292</v>
      </c>
      <c r="AA115" s="21" t="n">
        <f aca="false">'Fixed Cost Sensitivity'!E5</f>
        <v>6000</v>
      </c>
    </row>
    <row r="116" customFormat="false" ht="18" hidden="false" customHeight="false" outlineLevel="0" collapsed="false">
      <c r="A116" s="41" t="s">
        <v>293</v>
      </c>
      <c r="B116" s="32" t="n">
        <f aca="false">'Price &amp; Fixed Cost Sensitivity'!G6/12</f>
        <v>500</v>
      </c>
      <c r="C116" s="32" t="n">
        <f aca="false">'Price &amp; Fixed Cost Sensitivity'!G6/12</f>
        <v>500</v>
      </c>
      <c r="D116" s="32" t="n">
        <f aca="false">'Price &amp; Fixed Cost Sensitivity'!G6/12</f>
        <v>500</v>
      </c>
      <c r="E116" s="32" t="n">
        <f aca="false">'Price &amp; Fixed Cost Sensitivity'!G6/12</f>
        <v>500</v>
      </c>
      <c r="F116" s="32" t="n">
        <f aca="false">'Price &amp; Fixed Cost Sensitivity'!G6/12</f>
        <v>500</v>
      </c>
      <c r="G116" s="32" t="n">
        <f aca="false">'Price &amp; Fixed Cost Sensitivity'!G6/12</f>
        <v>500</v>
      </c>
      <c r="H116" s="32" t="n">
        <f aca="false">'Price &amp; Fixed Cost Sensitivity'!G6/12</f>
        <v>500</v>
      </c>
      <c r="I116" s="32" t="n">
        <f aca="false">'Price &amp; Fixed Cost Sensitivity'!G6/12</f>
        <v>500</v>
      </c>
      <c r="J116" s="32" t="n">
        <f aca="false">'Price &amp; Fixed Cost Sensitivity'!G6/12</f>
        <v>500</v>
      </c>
      <c r="K116" s="32" t="n">
        <f aca="false">'Price &amp; Fixed Cost Sensitivity'!G6/12</f>
        <v>500</v>
      </c>
      <c r="L116" s="32" t="n">
        <f aca="false">'Price &amp; Fixed Cost Sensitivity'!G6/12</f>
        <v>500</v>
      </c>
      <c r="M116" s="32" t="n">
        <f aca="false">'Price &amp; Fixed Cost Sensitivity'!G6/12</f>
        <v>500</v>
      </c>
      <c r="N116" s="32" t="n">
        <f aca="false">'Price &amp; Fixed Cost Sensitivity'!G6/12</f>
        <v>500</v>
      </c>
      <c r="O116" s="32" t="n">
        <v>0</v>
      </c>
      <c r="P116" s="32" t="n">
        <v>0</v>
      </c>
      <c r="Q116" s="32" t="n">
        <v>0</v>
      </c>
      <c r="R116" s="32" t="n">
        <v>0</v>
      </c>
      <c r="S116" s="32" t="n">
        <v>0</v>
      </c>
      <c r="T116" s="32" t="n">
        <v>0</v>
      </c>
      <c r="U116" s="32" t="n">
        <v>0</v>
      </c>
      <c r="V116" s="32" t="n">
        <v>0</v>
      </c>
      <c r="W116" s="32" t="n">
        <v>0</v>
      </c>
      <c r="X116" s="32" t="n">
        <f aca="false">'Price &amp; Fixed Cost Sensitivity'!G6/12</f>
        <v>500</v>
      </c>
      <c r="Y116" s="32" t="n">
        <f aca="false">'Price &amp; Fixed Cost Sensitivity'!G6/12</f>
        <v>500</v>
      </c>
    </row>
    <row r="117" customFormat="false" ht="18" hidden="false" customHeight="false" outlineLevel="0" collapsed="false">
      <c r="A117" s="41" t="s">
        <v>294</v>
      </c>
      <c r="B117" s="32" t="n">
        <f aca="false">'Price &amp; Fixed Cost Sensitivity'!F6/12</f>
        <v>400</v>
      </c>
      <c r="C117" s="32" t="n">
        <f aca="false">'Price &amp; Fixed Cost Sensitivity'!F6/12</f>
        <v>400</v>
      </c>
      <c r="D117" s="32" t="n">
        <f aca="false">'Price &amp; Fixed Cost Sensitivity'!F6/12</f>
        <v>400</v>
      </c>
      <c r="E117" s="32" t="n">
        <f aca="false">'Price &amp; Fixed Cost Sensitivity'!F6/12</f>
        <v>400</v>
      </c>
      <c r="F117" s="32" t="n">
        <f aca="false">'Price &amp; Fixed Cost Sensitivity'!F6/12</f>
        <v>400</v>
      </c>
      <c r="G117" s="32" t="n">
        <f aca="false">'Price &amp; Fixed Cost Sensitivity'!F6/12</f>
        <v>400</v>
      </c>
      <c r="H117" s="32" t="n">
        <f aca="false">'Price &amp; Fixed Cost Sensitivity'!F6/12</f>
        <v>400</v>
      </c>
      <c r="I117" s="32" t="n">
        <f aca="false">'Price &amp; Fixed Cost Sensitivity'!F6/12</f>
        <v>400</v>
      </c>
      <c r="J117" s="32" t="n">
        <f aca="false">'Price &amp; Fixed Cost Sensitivity'!F6/12</f>
        <v>400</v>
      </c>
      <c r="K117" s="32" t="n">
        <f aca="false">'Price &amp; Fixed Cost Sensitivity'!F6/12</f>
        <v>400</v>
      </c>
      <c r="L117" s="32" t="n">
        <f aca="false">'Price &amp; Fixed Cost Sensitivity'!F6/12</f>
        <v>400</v>
      </c>
      <c r="M117" s="32" t="n">
        <f aca="false">'Price &amp; Fixed Cost Sensitivity'!F6/12</f>
        <v>400</v>
      </c>
      <c r="N117" s="32" t="n">
        <f aca="false">'Price &amp; Fixed Cost Sensitivity'!F6/12</f>
        <v>400</v>
      </c>
      <c r="O117" s="32" t="n">
        <v>0</v>
      </c>
      <c r="P117" s="32" t="n">
        <v>0</v>
      </c>
      <c r="Q117" s="32" t="n">
        <v>0</v>
      </c>
      <c r="R117" s="32" t="n">
        <v>0</v>
      </c>
      <c r="S117" s="32" t="n">
        <v>0</v>
      </c>
      <c r="T117" s="32" t="n">
        <v>0</v>
      </c>
      <c r="U117" s="32" t="n">
        <v>0</v>
      </c>
      <c r="V117" s="32" t="n">
        <v>0</v>
      </c>
      <c r="W117" s="32" t="n">
        <v>0</v>
      </c>
      <c r="X117" s="32" t="n">
        <f aca="false">'Price &amp; Fixed Cost Sensitivity'!F6/12</f>
        <v>400</v>
      </c>
      <c r="Y117" s="32" t="n">
        <f aca="false">'Price &amp; Fixed Cost Sensitivity'!F6/12</f>
        <v>400</v>
      </c>
    </row>
    <row r="118" customFormat="false" ht="18" hidden="false" customHeight="false" outlineLevel="0" collapsed="false">
      <c r="A118" s="41" t="s">
        <v>295</v>
      </c>
      <c r="B118" s="32" t="n">
        <f aca="false">'Price &amp; Fixed Cost Sensitivity'!J6/12</f>
        <v>500</v>
      </c>
      <c r="C118" s="32" t="n">
        <f aca="false">'Price &amp; Fixed Cost Sensitivity'!J6/12</f>
        <v>500</v>
      </c>
      <c r="D118" s="32" t="n">
        <f aca="false">'Price &amp; Fixed Cost Sensitivity'!J6/12</f>
        <v>500</v>
      </c>
      <c r="E118" s="32" t="n">
        <f aca="false">'Price &amp; Fixed Cost Sensitivity'!J6/12</f>
        <v>500</v>
      </c>
      <c r="F118" s="32" t="n">
        <f aca="false">'Price &amp; Fixed Cost Sensitivity'!J6/12</f>
        <v>500</v>
      </c>
      <c r="G118" s="32" t="n">
        <f aca="false">'Price &amp; Fixed Cost Sensitivity'!J6/12</f>
        <v>500</v>
      </c>
      <c r="H118" s="32" t="n">
        <f aca="false">'Price &amp; Fixed Cost Sensitivity'!J6/12</f>
        <v>500</v>
      </c>
      <c r="I118" s="32" t="n">
        <f aca="false">'Price &amp; Fixed Cost Sensitivity'!J6/12</f>
        <v>500</v>
      </c>
      <c r="J118" s="32" t="n">
        <f aca="false">'Price &amp; Fixed Cost Sensitivity'!J6/12</f>
        <v>500</v>
      </c>
      <c r="K118" s="32" t="n">
        <f aca="false">'Price &amp; Fixed Cost Sensitivity'!J6/12</f>
        <v>500</v>
      </c>
      <c r="L118" s="32" t="n">
        <f aca="false">'Price &amp; Fixed Cost Sensitivity'!J6/12</f>
        <v>500</v>
      </c>
      <c r="M118" s="32" t="n">
        <f aca="false">'Price &amp; Fixed Cost Sensitivity'!J6/12</f>
        <v>500</v>
      </c>
      <c r="N118" s="32" t="n">
        <f aca="false">'Price &amp; Fixed Cost Sensitivity'!J6/12</f>
        <v>500</v>
      </c>
      <c r="O118" s="32" t="n">
        <v>0</v>
      </c>
      <c r="P118" s="32" t="n">
        <v>0</v>
      </c>
      <c r="Q118" s="32" t="n">
        <v>0</v>
      </c>
      <c r="R118" s="32" t="n">
        <v>0</v>
      </c>
      <c r="S118" s="32" t="n">
        <v>0</v>
      </c>
      <c r="T118" s="32" t="n">
        <v>0</v>
      </c>
      <c r="U118" s="32" t="n">
        <v>0</v>
      </c>
      <c r="V118" s="32" t="n">
        <v>0</v>
      </c>
      <c r="W118" s="32" t="n">
        <v>0</v>
      </c>
      <c r="X118" s="32" t="n">
        <f aca="false">'Price &amp; Fixed Cost Sensitivity'!J6/12</f>
        <v>500</v>
      </c>
      <c r="Y118" s="32" t="n">
        <f aca="false">'Price &amp; Fixed Cost Sensitivity'!J6/12</f>
        <v>500</v>
      </c>
    </row>
    <row r="119" customFormat="false" ht="18" hidden="false" customHeight="false" outlineLevel="0" collapsed="false">
      <c r="A119" s="41" t="s">
        <v>296</v>
      </c>
      <c r="B119" s="32" t="n">
        <f aca="false">'Price &amp; Fixed Cost Sensitivity'!I6/12</f>
        <v>400</v>
      </c>
      <c r="C119" s="32" t="n">
        <f aca="false">'Price &amp; Fixed Cost Sensitivity'!I6/12</f>
        <v>400</v>
      </c>
      <c r="D119" s="32" t="n">
        <f aca="false">'Price &amp; Fixed Cost Sensitivity'!I6/12</f>
        <v>400</v>
      </c>
      <c r="E119" s="32" t="n">
        <f aca="false">'Price &amp; Fixed Cost Sensitivity'!I6/12</f>
        <v>400</v>
      </c>
      <c r="F119" s="32" t="n">
        <f aca="false">'Price &amp; Fixed Cost Sensitivity'!I6/12</f>
        <v>400</v>
      </c>
      <c r="G119" s="32" t="n">
        <f aca="false">'Price &amp; Fixed Cost Sensitivity'!I6/12</f>
        <v>400</v>
      </c>
      <c r="H119" s="32" t="n">
        <f aca="false">'Price &amp; Fixed Cost Sensitivity'!I6/12</f>
        <v>400</v>
      </c>
      <c r="I119" s="32" t="n">
        <f aca="false">'Price &amp; Fixed Cost Sensitivity'!I6/12</f>
        <v>400</v>
      </c>
      <c r="J119" s="32" t="n">
        <f aca="false">'Price &amp; Fixed Cost Sensitivity'!I6/12</f>
        <v>400</v>
      </c>
      <c r="K119" s="32" t="n">
        <f aca="false">'Price &amp; Fixed Cost Sensitivity'!I6/12</f>
        <v>400</v>
      </c>
      <c r="L119" s="32" t="n">
        <f aca="false">'Price &amp; Fixed Cost Sensitivity'!I6/12</f>
        <v>400</v>
      </c>
      <c r="M119" s="32" t="n">
        <f aca="false">'Price &amp; Fixed Cost Sensitivity'!I6/12</f>
        <v>400</v>
      </c>
      <c r="N119" s="32" t="n">
        <f aca="false">'Price &amp; Fixed Cost Sensitivity'!I6/12</f>
        <v>400</v>
      </c>
      <c r="O119" s="32" t="n">
        <v>0</v>
      </c>
      <c r="P119" s="32" t="n">
        <v>0</v>
      </c>
      <c r="Q119" s="32" t="n">
        <v>0</v>
      </c>
      <c r="R119" s="32" t="n">
        <v>0</v>
      </c>
      <c r="S119" s="32" t="n">
        <v>0</v>
      </c>
      <c r="T119" s="32" t="n">
        <v>0</v>
      </c>
      <c r="U119" s="32" t="n">
        <v>0</v>
      </c>
      <c r="V119" s="32" t="n">
        <v>0</v>
      </c>
      <c r="W119" s="32" t="n">
        <v>0</v>
      </c>
      <c r="X119" s="32" t="n">
        <f aca="false">'Price &amp; Fixed Cost Sensitivity'!I6/12</f>
        <v>400</v>
      </c>
      <c r="Y119" s="32" t="n">
        <f aca="false">'Price &amp; Fixed Cost Sensitivity'!I6/12</f>
        <v>400</v>
      </c>
    </row>
    <row r="120" customFormat="false" ht="18" hidden="false" customHeight="false" outlineLevel="0" collapsed="false">
      <c r="A120" s="41" t="s">
        <v>297</v>
      </c>
      <c r="B120" s="32" t="n">
        <f aca="false">'Price &amp; Fixed Cost Sensitivity'!E6/12</f>
        <v>300</v>
      </c>
      <c r="C120" s="32" t="n">
        <f aca="false">'Price &amp; Fixed Cost Sensitivity'!E6/12</f>
        <v>300</v>
      </c>
      <c r="D120" s="32" t="n">
        <f aca="false">'Price &amp; Fixed Cost Sensitivity'!E6/12</f>
        <v>300</v>
      </c>
      <c r="E120" s="32" t="n">
        <f aca="false">'Price &amp; Fixed Cost Sensitivity'!E6/12</f>
        <v>300</v>
      </c>
      <c r="F120" s="32" t="n">
        <f aca="false">'Price &amp; Fixed Cost Sensitivity'!E6/12</f>
        <v>300</v>
      </c>
      <c r="G120" s="32" t="n">
        <f aca="false">'Price &amp; Fixed Cost Sensitivity'!E6/12</f>
        <v>300</v>
      </c>
      <c r="H120" s="32" t="n">
        <f aca="false">'Price &amp; Fixed Cost Sensitivity'!E6/12</f>
        <v>300</v>
      </c>
      <c r="I120" s="32" t="n">
        <f aca="false">'Price &amp; Fixed Cost Sensitivity'!E6/12</f>
        <v>300</v>
      </c>
      <c r="J120" s="32" t="n">
        <f aca="false">'Price &amp; Fixed Cost Sensitivity'!E6/12</f>
        <v>300</v>
      </c>
      <c r="K120" s="32" t="n">
        <f aca="false">'Price &amp; Fixed Cost Sensitivity'!E6/12</f>
        <v>300</v>
      </c>
      <c r="L120" s="32" t="n">
        <f aca="false">'Price &amp; Fixed Cost Sensitivity'!E6/12</f>
        <v>300</v>
      </c>
      <c r="M120" s="32" t="n">
        <f aca="false">'Price &amp; Fixed Cost Sensitivity'!E6/12</f>
        <v>300</v>
      </c>
      <c r="N120" s="32" t="n">
        <f aca="false">'Price &amp; Fixed Cost Sensitivity'!E6/12</f>
        <v>300</v>
      </c>
      <c r="O120" s="32" t="n">
        <v>0</v>
      </c>
      <c r="P120" s="32" t="n">
        <v>0</v>
      </c>
      <c r="Q120" s="32" t="n">
        <v>0</v>
      </c>
      <c r="R120" s="32" t="n">
        <v>0</v>
      </c>
      <c r="S120" s="32" t="n">
        <v>0</v>
      </c>
      <c r="T120" s="32" t="n">
        <v>0</v>
      </c>
      <c r="U120" s="32" t="n">
        <v>0</v>
      </c>
      <c r="V120" s="32" t="n">
        <v>0</v>
      </c>
      <c r="W120" s="32" t="n">
        <v>0</v>
      </c>
      <c r="X120" s="32" t="n">
        <f aca="false">'Price &amp; Fixed Cost Sensitivity'!E6/12</f>
        <v>300</v>
      </c>
      <c r="Y120" s="32" t="n">
        <f aca="false">'Price &amp; Fixed Cost Sensitivity'!E6/12</f>
        <v>300</v>
      </c>
    </row>
    <row r="121" customFormat="false" ht="18" hidden="false" customHeight="false" outlineLevel="0" collapsed="false">
      <c r="A121" s="41" t="s">
        <v>298</v>
      </c>
      <c r="B121" s="32" t="n">
        <f aca="false">'Price &amp; Fixed Cost Sensitivity'!H6/12</f>
        <v>300</v>
      </c>
      <c r="C121" s="32" t="n">
        <f aca="false">'Price &amp; Fixed Cost Sensitivity'!H6/12</f>
        <v>300</v>
      </c>
      <c r="D121" s="32" t="n">
        <f aca="false">'Price &amp; Fixed Cost Sensitivity'!H6/12</f>
        <v>300</v>
      </c>
      <c r="E121" s="32" t="n">
        <f aca="false">'Price &amp; Fixed Cost Sensitivity'!H6/12</f>
        <v>300</v>
      </c>
      <c r="F121" s="32" t="n">
        <f aca="false">'Price &amp; Fixed Cost Sensitivity'!H6/12</f>
        <v>300</v>
      </c>
      <c r="G121" s="32" t="n">
        <f aca="false">'Price &amp; Fixed Cost Sensitivity'!H6/12</f>
        <v>300</v>
      </c>
      <c r="H121" s="32" t="n">
        <f aca="false">'Price &amp; Fixed Cost Sensitivity'!H6/12</f>
        <v>300</v>
      </c>
      <c r="I121" s="32" t="n">
        <f aca="false">'Price &amp; Fixed Cost Sensitivity'!H6/12</f>
        <v>300</v>
      </c>
      <c r="J121" s="32" t="n">
        <f aca="false">'Price &amp; Fixed Cost Sensitivity'!H6/12</f>
        <v>300</v>
      </c>
      <c r="K121" s="32" t="n">
        <f aca="false">'Price &amp; Fixed Cost Sensitivity'!H6/12</f>
        <v>300</v>
      </c>
      <c r="L121" s="32" t="n">
        <f aca="false">'Price &amp; Fixed Cost Sensitivity'!H6/12</f>
        <v>300</v>
      </c>
      <c r="M121" s="32" t="n">
        <f aca="false">'Price &amp; Fixed Cost Sensitivity'!H6/12</f>
        <v>300</v>
      </c>
      <c r="N121" s="32" t="n">
        <f aca="false">'Price &amp; Fixed Cost Sensitivity'!H6/12</f>
        <v>300</v>
      </c>
      <c r="O121" s="32" t="n">
        <v>0</v>
      </c>
      <c r="P121" s="32" t="n">
        <v>0</v>
      </c>
      <c r="Q121" s="32" t="n">
        <v>0</v>
      </c>
      <c r="R121" s="32" t="n">
        <v>0</v>
      </c>
      <c r="S121" s="32" t="n">
        <v>0</v>
      </c>
      <c r="T121" s="32" t="n">
        <v>0</v>
      </c>
      <c r="U121" s="32" t="n">
        <v>0</v>
      </c>
      <c r="V121" s="32" t="n">
        <v>0</v>
      </c>
      <c r="W121" s="32" t="n">
        <v>0</v>
      </c>
      <c r="X121" s="32" t="n">
        <f aca="false">'Price &amp; Fixed Cost Sensitivity'!H6/12</f>
        <v>300</v>
      </c>
      <c r="Y121" s="32" t="n">
        <f aca="false">'Price &amp; Fixed Cost Sensitivity'!H6/12</f>
        <v>300</v>
      </c>
    </row>
    <row r="122" customFormat="false" ht="18" hidden="false" customHeight="false" outlineLevel="0" collapsed="false">
      <c r="A122" s="41" t="s">
        <v>299</v>
      </c>
      <c r="AA122" s="29" t="n">
        <f aca="false">DATE(2027,1,1)</f>
        <v>46388</v>
      </c>
    </row>
    <row r="123" customFormat="false" ht="18" hidden="false" customHeight="false" outlineLevel="0" collapsed="false">
      <c r="A123" s="41" t="s">
        <v>300</v>
      </c>
      <c r="AA123" s="29" t="n">
        <f aca="false">DATE(2027,1,1)</f>
        <v>46388</v>
      </c>
    </row>
    <row r="124" customFormat="false" ht="18" hidden="false" customHeight="false" outlineLevel="0" collapsed="false">
      <c r="A124" s="41" t="s">
        <v>301</v>
      </c>
      <c r="AA124" s="29" t="n">
        <f aca="false">DATE(2027,1,1)</f>
        <v>46388</v>
      </c>
    </row>
    <row r="125" customFormat="false" ht="18" hidden="false" customHeight="false" outlineLevel="0" collapsed="false">
      <c r="A125" s="41" t="s">
        <v>302</v>
      </c>
      <c r="AA125" s="21" t="n">
        <f aca="false">99</f>
        <v>99</v>
      </c>
    </row>
    <row r="126" customFormat="false" ht="18" hidden="false" customHeight="false" outlineLevel="0" collapsed="false">
      <c r="A126" s="41" t="s">
        <v>303</v>
      </c>
      <c r="AA126" s="21" t="n">
        <f aca="false">99</f>
        <v>99</v>
      </c>
    </row>
    <row r="127" customFormat="false" ht="18" hidden="false" customHeight="false" outlineLevel="0" collapsed="false">
      <c r="A127" s="41" t="s">
        <v>304</v>
      </c>
      <c r="AA127" s="21" t="n">
        <f aca="false">99</f>
        <v>99</v>
      </c>
    </row>
  </sheetData>
  <mergeCells count="2">
    <mergeCell ref="A1:AA1"/>
    <mergeCell ref="A2:AA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2026-10-12T08:34:45Z</dcterms:created>
  <dc:creator>openpyxl</dc:creator>
  <dc:description/>
  <dc:language>en-US</dc:language>
  <cp:lastModifiedBy/>
  <dcterms:modified xsi:type="dcterms:W3CDTF">2026-10-12T08:34:45Z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