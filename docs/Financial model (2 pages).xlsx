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isruptRadar Business Plan · Ma" sheetId="1" r:id="rId1"/>
    <sheet name="DisruptRadar Business Plan · Pr" sheetId="2" r:id="rId2"/>
    <sheet name="DisruptRadar Business Plan · Cu" sheetId="3" r:id="rId3"/>
    <sheet name="DisruptRadar — Projeção mensal" sheetId="4" r:id="rId4"/>
    <sheet name="DisruptRadar — Projeção men (2)" sheetId="5" r:id="rId5"/>
    <sheet name="DisruptRadar — Projeção men (3)" sheetId="6" r:id="rId6"/>
    <sheet name="DisruptRadar — Projeção men (4)" sheetId="7" r:id="rId7"/>
    <sheet name="DisruptRadar — Projeção men (5)" sheetId="8" r:id="rId8"/>
    <sheet name="DisruptRadar — Projeção men (6)" sheetId="9" r:id="rId9"/>
    <sheet name="DisruptRadar — Projeção men (7)" sheetId="10" r:id="rId10"/>
    <sheet name="Model inputs" sheetId="11" r:id="rId11"/>
  </sheets>
  <calcPr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#,##0.###;(#,##0.###)"/>
    <numFmt numFmtId="165" formatCode="&quot;EUR &quot;#,##0;(&quot;EUR &quot;#,##0)"/>
    <numFmt numFmtId="166" formatCode="&quot;$&quot;#,##0.00;(&quot;$&quot;#,##0.00)"/>
    <numFmt numFmtId="167" formatCode="0.0%"/>
    <numFmt numFmtId="168" formatCode="#,##0;(#,##0)"/>
    <numFmt numFmtId="169" formatCode="#,##0.0;(#,##0.0)"/>
    <numFmt numFmtId="170" formatCode="&quot;$&quot;#,##0;(&quot;$&quot;#,##0)"/>
    <numFmt numFmtId="171" formatCode="yyyy-mm-dd"/>
    <numFmt numFmtId="172" formatCode="&quot;EUR &quot;#,##0.00;(&quot;EUR &quot;#,##0.00)"/>
    <numFmt numFmtId="173" formatCode="#,##0.00;(#,##0.00)"/>
    <numFmt numFmtId="174" formatCode="0.00%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72" fontId="0" fillId="0" borderId="0" xfId="0" applyNumberFormat="1" applyAlignment="1">
      <alignment vertical="center" horizontal="right"/>
    </xf>
    <xf numFmtId="172" fontId="3" fillId="4" borderId="1" xfId="0" applyNumberFormat="1" applyFill="1" applyFont="1" applyBorder="1" applyAlignment="1">
      <alignment vertical="center" horizontal="right"/>
    </xf>
    <xf numFmtId="173" fontId="3" fillId="4" borderId="1" xfId="0" applyNumberFormat="1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73" fontId="0" fillId="0" borderId="0" xfId="0" applyNumberFormat="1" applyAlignment="1">
      <alignment vertical="center" horizontal="right"/>
    </xf>
    <xf numFmtId="174" fontId="0" fillId="0" borderId="0" xfId="0" applyNumberFormat="1" applyAlignment="1">
      <alignment vertical="center" horizontal="right"/>
    </xf>
    <xf numFmtId="174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worksheet" Target="worksheets/sheet11.xml"></Relationship><Relationship Id="rId12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D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DisruptRadar Business Plan · Matriz de cenários DisruptRadar</t>
        </is>
      </c>
    </row>
    <row r="2" ht="20" customHeight="1">
      <c r="A2" t="inlineStr" s="2">
        <is>
          <t xml:space="preserve">Financial model (2 pages)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Pessimista</t>
        </is>
      </c>
      <c r="D4" t="inlineStr" s="4">
        <is>
          <t xml:space="preserve">Value &gt; Otimista</t>
        </is>
      </c>
    </row>
    <row r="5">
      <c r="A5" t="inlineStr" s="5">
        <is>
          <t xml:space="preserve">Subscritores (fim de ano)</t>
        </is>
      </c>
      <c r="B5" s="6">
        <f>40</f>
        <v>40</v>
      </c>
      <c r="C5" s="6">
        <f>12</f>
        <v>12</v>
      </c>
      <c r="D5" s="6">
        <f>100</f>
        <v>100</v>
      </c>
    </row>
    <row r="6">
      <c r="A6" t="inlineStr" s="7">
        <is>
          <t xml:space="preserve">Receita anual realizada (EUR)</t>
        </is>
      </c>
      <c r="B6" s="8">
        <f>30096</f>
        <v>30096</v>
      </c>
      <c r="C6" s="8">
        <f>8000</f>
        <v>8000</v>
      </c>
      <c r="D6" s="8">
        <f>80000</f>
        <v>80000</v>
      </c>
    </row>
    <row r="7">
      <c r="A7" t="inlineStr" s="7">
        <is>
          <t xml:space="preserve">Custos anuais (EUR)</t>
        </is>
      </c>
      <c r="B7" s="8">
        <f>15120</f>
        <v>15120</v>
      </c>
      <c r="C7" s="8">
        <f>6000</f>
        <v>6000</v>
      </c>
      <c r="D7" s="8">
        <f>24000</f>
        <v>24000</v>
      </c>
    </row>
    <row r="8">
      <c r="A8" t="inlineStr" s="7">
        <is>
          <t xml:space="preserve">EBITDA (EUR)</t>
        </is>
      </c>
      <c r="B8" s="8">
        <f>'DisruptRadar Business Plan · Ma'!B6-'DisruptRadar Business Plan · Ma'!B7</f>
        <v>14976</v>
      </c>
      <c r="C8" s="8">
        <f>'DisruptRadar Business Plan · Ma'!C6-'DisruptRadar Business Plan · Ma'!C7</f>
        <v>2000</v>
      </c>
      <c r="D8" s="8">
        <f>'DisruptRadar Business Plan · Ma'!D6-'DisruptRadar Business Plan · Ma'!D7</f>
        <v>56000</v>
      </c>
    </row>
    <row r="9">
      <c r="A9" t="inlineStr" s="7">
        <is>
          <t xml:space="preserve">Margem bruta</t>
        </is>
      </c>
      <c r="B9" s="9">
        <f>0.8</f>
        <v>0.8</v>
      </c>
      <c r="C9" s="9">
        <f>0.75</f>
        <v>0.75</v>
      </c>
      <c r="D9" s="9">
        <f>0.85</f>
        <v>0.85</v>
      </c>
    </row>
    <row r="10">
      <c r="A10" t="inlineStr" s="5">
        <is>
          <t xml:space="preserve">Cobertura de caixa com receita zero (meses)</t>
        </is>
      </c>
      <c r="B10" s="6">
        <f>IFERROR('DisruptRadar Business Plan · Pr'!B7/'DisruptRadar Business Plan · Ma'!B7*12,"")</f>
        <v>15.873015873015873</v>
      </c>
      <c r="C10" s="6">
        <f>IFERROR('Model inputs'!Z13/'DisruptRadar Business Plan · Ma'!C7*12,"")</f>
        <v>40</v>
      </c>
      <c r="D10" s="6">
        <f>IFERROR('Model inputs'!Z14/'DisruptRadar Business Plan · Ma'!D7*12,"")</f>
        <v>10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dimension ref="A1:B1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DisruptRadar Business Plan · Premissas DisruptRadar — Ano 1</t>
        </is>
      </c>
    </row>
    <row r="2" ht="20" customHeight="1">
      <c r="A2" t="inlineStr" s="2">
        <is>
          <t xml:space="preserve">Financial model (2 pages)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Preço mensal Pro (EUR)</t>
        </is>
      </c>
      <c r="B5" s="6">
        <f>99</f>
        <v>99</v>
      </c>
    </row>
    <row r="6">
      <c r="A6" t="inlineStr" s="7">
        <is>
          <t xml:space="preserve">Preço mensal Enterprise proposto (EUR)</t>
        </is>
      </c>
      <c r="B6" s="9">
        <f>499</f>
        <v>499</v>
      </c>
    </row>
    <row r="7">
      <c r="A7" t="inlineStr" s="7">
        <is>
          <t xml:space="preserve">Caixa inicial (EUR)</t>
        </is>
      </c>
      <c r="B7" s="9">
        <f>20000</f>
        <v>20000</v>
      </c>
    </row>
    <row r="8">
      <c r="A8" t="inlineStr" s="7">
        <is>
          <t xml:space="preserve">Custo fixo mensal (EUR)</t>
        </is>
      </c>
      <c r="B8" s="9">
        <f>500</f>
        <v>500</v>
      </c>
    </row>
    <row r="9">
      <c r="A9" t="inlineStr" s="7">
        <is>
          <t xml:space="preserve">Mercado endereçável mínimo (contas)</t>
        </is>
      </c>
      <c r="B9" s="9">
        <f>500</f>
        <v>500</v>
      </c>
    </row>
    <row r="10">
      <c r="A10" t="inlineStr" s="7">
        <is>
          <t xml:space="preserve">Mercado endereçável máximo (contas)</t>
        </is>
      </c>
      <c r="B10" s="9">
        <f>1000</f>
        <v>1000</v>
      </c>
    </row>
    <row r="11">
      <c r="A11" t="inlineStr" s="7">
        <is>
          <t xml:space="preserve">Custo variável por domínio por mês — estimativa (EUR)</t>
        </is>
      </c>
      <c r="B11" s="10">
        <f>3</f>
        <v>3</v>
      </c>
    </row>
    <row r="12">
      <c r="A12" t="inlineStr" s="7">
        <is>
          <t xml:space="preserve">Margem Pro após custo variável — um domínio por subscritor</t>
        </is>
      </c>
      <c r="B12" s="11">
        <f>IFERROR(1-'DisruptRadar Business Plan · Pr'!B11/'DisruptRadar Business Plan · Pr'!B5,"")</f>
        <v>0.9696969696969697</v>
      </c>
    </row>
    <row r="13">
      <c r="A13" t="inlineStr" s="7">
        <is>
          <t xml:space="preserve">Domínios incluídos no plano Pro</t>
        </is>
      </c>
      <c r="B13" s="12">
        <f>10</f>
        <v>10</v>
      </c>
    </row>
    <row r="14">
      <c r="A14" t="inlineStr" s="7">
        <is>
          <t xml:space="preserve">Domínios médios por cliente Pro — hipótese</t>
        </is>
      </c>
      <c r="B14" s="13">
        <f>10</f>
        <v>10</v>
      </c>
    </row>
    <row r="15">
      <c r="A15" t="inlineStr" s="7">
        <is>
          <t xml:space="preserve">Custo mensal de entrega por cliente Pro (EUR)</t>
        </is>
      </c>
      <c r="B15" s="10">
        <f>'DisruptRadar Business Plan · Pr'!B14*'DisruptRadar Business Plan · Pr'!B11</f>
        <v>30</v>
      </c>
    </row>
    <row r="16">
      <c r="A16" t="inlineStr" s="5">
        <is>
          <t xml:space="preserve">Margem de contribuição Pro — utilização média</t>
        </is>
      </c>
      <c r="B16" s="14">
        <f>IFERROR(('DisruptRadar Business Plan · Pr'!B5-'DisruptRadar Business Plan · Pr'!B15)/'DisruptRadar Business Plan · Pr'!B5,"")</f>
        <v>0.696969696969697</v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>
  <dimension ref="A1:D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DisruptRadar Business Plan · Custo de entrega ligado à utilização — referência Pro</t>
        </is>
      </c>
    </row>
    <row r="2" ht="20" customHeight="1">
      <c r="A2" t="inlineStr" s="2">
        <is>
          <t xml:space="preserve">Financial model (2 pages)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Pessimista</t>
        </is>
      </c>
      <c r="D4" t="inlineStr" s="4">
        <is>
          <t xml:space="preserve">Value &gt; Otimista</t>
        </is>
      </c>
    </row>
    <row r="5">
      <c r="A5" t="inlineStr" s="5">
        <is>
          <t xml:space="preserve">Subscritores (fim de ano)</t>
        </is>
      </c>
      <c r="B5" s="6">
        <f>40</f>
        <v>40</v>
      </c>
      <c r="C5" s="6">
        <f>'DisruptRadar Business Plan · Ma'!C5</f>
        <v>12</v>
      </c>
      <c r="D5" s="6">
        <f>'DisruptRadar Business Plan · Ma'!D5</f>
        <v>100</v>
      </c>
    </row>
    <row r="6">
      <c r="A6" t="inlineStr" s="7">
        <is>
          <t xml:space="preserve">Domínios monitorizados ao fim do ano — referência Pro</t>
        </is>
      </c>
      <c r="B6" s="12">
        <f>'DisruptRadar Business Plan · Pr'!B14*'DisruptRadar Business Plan · Cu'!B5</f>
        <v>400</v>
      </c>
      <c r="C6" s="12">
        <f>'Model inputs'!Z38*'DisruptRadar Business Plan · Cu'!C5</f>
        <v>120</v>
      </c>
      <c r="D6" s="12">
        <f>'Model inputs'!Z39*'DisruptRadar Business Plan · Cu'!D5</f>
        <v>1000</v>
      </c>
    </row>
    <row r="7">
      <c r="A7" t="inlineStr" s="5">
        <is>
          <t xml:space="preserve">Custo mensal de entrega ao fim do ano — referência Pro (EUR)</t>
        </is>
      </c>
      <c r="B7" s="15">
        <f>'DisruptRadar Business Plan · Pr'!B14*'DisruptRadar Business Plan · Pr'!B11*'DisruptRadar Business Plan · Cu'!B5</f>
        <v>1200</v>
      </c>
      <c r="C7" s="15">
        <f>'Model inputs'!Z38*'Model inputs'!Z28*'DisruptRadar Business Plan · Cu'!C5</f>
        <v>360</v>
      </c>
      <c r="D7" s="15">
        <f>'Model inputs'!Z39*'Model inputs'!Z29*'DisruptRadar Business Plan · Cu'!D5</f>
        <v>3000</v>
      </c>
    </row>
  </sheetData>
  <mergeCells count="1">
    <mergeCell ref="A1:D1"/>
  </mergeCells>
</worksheet>
</file>

<file path=xl/worksheets/sheet4.xml><?xml version="1.0" encoding="utf-8"?>
<worksheet xmlns="http://schemas.openxmlformats.org/spreadsheetml/2006/main">
  <dimension ref="A1:B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DisruptRadar — Projeção mensal · Controlos da projeção Base</t>
        </is>
      </c>
    </row>
    <row r="2" ht="20" customHeight="1">
      <c r="A2" t="inlineStr" s="2">
        <is>
          <t xml:space="preserve">Financial model (2 pages)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Fixos anuais da projeção Base (EUR)</t>
        </is>
      </c>
      <c r="B5" s="16">
        <f>6000</f>
        <v>6000</v>
      </c>
    </row>
    <row r="6">
      <c r="A6" t="inlineStr" s="7">
        <is>
          <t xml:space="preserve">Início da projeção Base</t>
        </is>
      </c>
      <c r="B6" s="17">
        <f>DATE(2027,1,1)</f>
        <v>46388</v>
      </c>
    </row>
    <row r="7">
      <c r="A7" t="inlineStr" s="7">
        <is>
          <t xml:space="preserve">Preço mensal Pro (EUR)</t>
        </is>
      </c>
      <c r="B7" s="9">
        <f>99</f>
        <v>99</v>
      </c>
    </row>
    <row r="8">
      <c r="A8" t="inlineStr" s="7">
        <is>
          <t xml:space="preserve">Domínios médios por cliente Pro — hipótese</t>
        </is>
      </c>
      <c r="B8" s="9">
        <f>10</f>
        <v>10</v>
      </c>
    </row>
    <row r="9">
      <c r="A9" t="inlineStr" s="7">
        <is>
          <t xml:space="preserve">Custo variável por domínio por mês — estimativa (EUR)</t>
        </is>
      </c>
      <c r="B9" s="9">
        <f>3</f>
        <v>3</v>
      </c>
    </row>
    <row r="10">
      <c r="A10" t="inlineStr" s="5">
        <is>
          <t xml:space="preserve">Caixa inicial (EUR)</t>
        </is>
      </c>
      <c r="B10" s="6">
        <f>20000</f>
        <v>20000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M1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DisruptRadar — Projeção mensal · Projeção mensal Base — clientes, resultado e caixa</t>
        </is>
      </c>
    </row>
    <row r="2" ht="20" customHeight="1">
      <c r="A2" t="inlineStr" s="2">
        <is>
          <t xml:space="preserve">Financial model (2 pages) · Base</t>
        </is>
      </c>
    </row>
    <row r="4" ht="22" customHeight="1">
      <c r="A4" t="inlineStr" s="3">
        <is>
          <t xml:space="preserve">Variable / dimension</t>
        </is>
      </c>
      <c r="B4" t="inlineStr" s="18">
        <is>
          <t xml:space="preserve">2027-01</t>
        </is>
      </c>
      <c r="C4" t="inlineStr" s="4">
        <is>
          <t xml:space="preserve">2027-02</t>
        </is>
      </c>
      <c r="D4" t="inlineStr" s="4">
        <is>
          <t xml:space="preserve">2027-03</t>
        </is>
      </c>
      <c r="E4" t="inlineStr" s="18">
        <is>
          <t xml:space="preserve">2027-04</t>
        </is>
      </c>
      <c r="F4" t="inlineStr" s="4">
        <is>
          <t xml:space="preserve">2027-05</t>
        </is>
      </c>
      <c r="G4" t="inlineStr" s="4">
        <is>
          <t xml:space="preserve">2027-06</t>
        </is>
      </c>
      <c r="H4" t="inlineStr" s="18">
        <is>
          <t xml:space="preserve">2027-07</t>
        </is>
      </c>
      <c r="I4" t="inlineStr" s="4">
        <is>
          <t xml:space="preserve">2027-08</t>
        </is>
      </c>
      <c r="J4" t="inlineStr" s="4">
        <is>
          <t xml:space="preserve">2027-09</t>
        </is>
      </c>
      <c r="K4" t="inlineStr" s="18">
        <is>
          <t xml:space="preserve">2027-10</t>
        </is>
      </c>
      <c r="L4" t="inlineStr" s="4">
        <is>
          <t xml:space="preserve">2027-11</t>
        </is>
      </c>
      <c r="M4" t="inlineStr" s="4">
        <is>
          <t xml:space="preserve">2027-12</t>
        </is>
      </c>
    </row>
    <row r="5">
      <c r="A5" t="inlineStr" s="5">
        <is>
          <t xml:space="preserve">Clientes no fim do mês — projeção Base</t>
        </is>
      </c>
      <c r="B5" s="19">
        <f>1</f>
        <v>1</v>
      </c>
      <c r="C5" s="19">
        <f>4</f>
        <v>4</v>
      </c>
      <c r="D5" s="19">
        <f>9</f>
        <v>9</v>
      </c>
      <c r="E5" s="19">
        <f>14</f>
        <v>14</v>
      </c>
      <c r="F5" s="19">
        <f>20</f>
        <v>20</v>
      </c>
      <c r="G5" s="19">
        <f>26</f>
        <v>26</v>
      </c>
      <c r="H5" s="19">
        <f>32</f>
        <v>32</v>
      </c>
      <c r="I5" s="19">
        <f>38</f>
        <v>38</v>
      </c>
      <c r="J5" s="19">
        <f>40</f>
        <v>40</v>
      </c>
      <c r="K5" s="19">
        <f>40</f>
        <v>40</v>
      </c>
      <c r="L5" s="19">
        <f>40</f>
        <v>40</v>
      </c>
      <c r="M5" s="19">
        <f>40</f>
        <v>40</v>
      </c>
    </row>
    <row r="6">
      <c r="A6" t="inlineStr" s="7">
        <is>
          <t xml:space="preserve">Receita mensal — projeção Base (EUR)</t>
        </is>
      </c>
      <c r="B6" s="20">
        <f>'DisruptRadar — Projeção men (2)'!B5*'DisruptRadar Business Plan · Pr'!B5</f>
        <v>99</v>
      </c>
      <c r="C6" s="20">
        <f>'DisruptRadar — Projeção men (2)'!C5*'DisruptRadar Business Plan · Pr'!B5</f>
        <v>396</v>
      </c>
      <c r="D6" s="20">
        <f>'DisruptRadar — Projeção men (2)'!D5*'DisruptRadar Business Plan · Pr'!B5</f>
        <v>891</v>
      </c>
      <c r="E6" s="20">
        <f>'DisruptRadar — Projeção men (2)'!E5*'DisruptRadar Business Plan · Pr'!B5</f>
        <v>1386</v>
      </c>
      <c r="F6" s="20">
        <f>'DisruptRadar — Projeção men (2)'!F5*'DisruptRadar Business Plan · Pr'!B5</f>
        <v>1980</v>
      </c>
      <c r="G6" s="20">
        <f>'DisruptRadar — Projeção men (2)'!G5*'DisruptRadar Business Plan · Pr'!B5</f>
        <v>2574</v>
      </c>
      <c r="H6" s="20">
        <f>'DisruptRadar — Projeção men (2)'!H5*'DisruptRadar Business Plan · Pr'!B5</f>
        <v>3168</v>
      </c>
      <c r="I6" s="20">
        <f>'DisruptRadar — Projeção men (2)'!I5*'DisruptRadar Business Plan · Pr'!B5</f>
        <v>3762</v>
      </c>
      <c r="J6" s="20">
        <f>'DisruptRadar — Projeção men (2)'!J5*'DisruptRadar Business Plan · Pr'!B5</f>
        <v>3960</v>
      </c>
      <c r="K6" s="20">
        <f>'DisruptRadar — Projeção men (2)'!K5*'DisruptRadar Business Plan · Pr'!B5</f>
        <v>3960</v>
      </c>
      <c r="L6" s="20">
        <f>'DisruptRadar — Projeção men (2)'!L5*'DisruptRadar Business Plan · Pr'!B5</f>
        <v>3960</v>
      </c>
      <c r="M6" s="20">
        <f>'DisruptRadar — Projeção men (2)'!M5*'DisruptRadar Business Plan · Pr'!B5</f>
        <v>3960</v>
      </c>
    </row>
    <row r="7">
      <c r="A7" t="inlineStr" s="7">
        <is>
          <t xml:space="preserve">Entrega mensal — projeção Base (EUR)</t>
        </is>
      </c>
      <c r="B7" s="20">
        <f>'DisruptRadar — Projeção men (2)'!B5*'DisruptRadar Business Plan · Pr'!B14*'DisruptRadar Business Plan · Pr'!B11</f>
        <v>30</v>
      </c>
      <c r="C7" s="20">
        <f>'DisruptRadar — Projeção men (2)'!C5*'DisruptRadar Business Plan · Pr'!B14*'DisruptRadar Business Plan · Pr'!B11</f>
        <v>120</v>
      </c>
      <c r="D7" s="20">
        <f>'DisruptRadar — Projeção men (2)'!D5*'DisruptRadar Business Plan · Pr'!B14*'DisruptRadar Business Plan · Pr'!B11</f>
        <v>270</v>
      </c>
      <c r="E7" s="20">
        <f>'DisruptRadar — Projeção men (2)'!E5*'DisruptRadar Business Plan · Pr'!B14*'DisruptRadar Business Plan · Pr'!B11</f>
        <v>420</v>
      </c>
      <c r="F7" s="20">
        <f>'DisruptRadar — Projeção men (2)'!F5*'DisruptRadar Business Plan · Pr'!B14*'DisruptRadar Business Plan · Pr'!B11</f>
        <v>600</v>
      </c>
      <c r="G7" s="20">
        <f>'DisruptRadar — Projeção men (2)'!G5*'DisruptRadar Business Plan · Pr'!B14*'DisruptRadar Business Plan · Pr'!B11</f>
        <v>780</v>
      </c>
      <c r="H7" s="20">
        <f>'DisruptRadar — Projeção men (2)'!H5*'DisruptRadar Business Plan · Pr'!B14*'DisruptRadar Business Plan · Pr'!B11</f>
        <v>960</v>
      </c>
      <c r="I7" s="20">
        <f>'DisruptRadar — Projeção men (2)'!I5*'DisruptRadar Business Plan · Pr'!B14*'DisruptRadar Business Plan · Pr'!B11</f>
        <v>1140</v>
      </c>
      <c r="J7" s="20">
        <f>'DisruptRadar — Projeção men (2)'!J5*'DisruptRadar Business Plan · Pr'!B14*'DisruptRadar Business Plan · Pr'!B11</f>
        <v>1200</v>
      </c>
      <c r="K7" s="20">
        <f>'DisruptRadar — Projeção men (2)'!K5*'DisruptRadar Business Plan · Pr'!B14*'DisruptRadar Business Plan · Pr'!B11</f>
        <v>1200</v>
      </c>
      <c r="L7" s="20">
        <f>'DisruptRadar — Projeção men (2)'!L5*'DisruptRadar Business Plan · Pr'!B14*'DisruptRadar Business Plan · Pr'!B11</f>
        <v>1200</v>
      </c>
      <c r="M7" s="20">
        <f>'DisruptRadar — Projeção men (2)'!M5*'DisruptRadar Business Plan · Pr'!B14*'DisruptRadar Business Plan · Pr'!B11</f>
        <v>1200</v>
      </c>
    </row>
    <row r="8">
      <c r="A8" t="inlineStr" s="7">
        <is>
          <t xml:space="preserve">Fixos mensais — projeção Base (EUR)</t>
        </is>
      </c>
      <c r="B8" s="20">
        <f>'DisruptRadar — Projeção mensal'!B5/12</f>
        <v>500</v>
      </c>
      <c r="C8" s="20">
        <f>'DisruptRadar — Projeção mensal'!B5/12</f>
        <v>500</v>
      </c>
      <c r="D8" s="20">
        <f>'DisruptRadar — Projeção mensal'!B5/12</f>
        <v>500</v>
      </c>
      <c r="E8" s="20">
        <f>'DisruptRadar — Projeção mensal'!B5/12</f>
        <v>500</v>
      </c>
      <c r="F8" s="20">
        <f>'DisruptRadar — Projeção mensal'!B5/12</f>
        <v>500</v>
      </c>
      <c r="G8" s="20">
        <f>'DisruptRadar — Projeção mensal'!B5/12</f>
        <v>500</v>
      </c>
      <c r="H8" s="20">
        <f>'DisruptRadar — Projeção mensal'!B5/12</f>
        <v>500</v>
      </c>
      <c r="I8" s="20">
        <f>'DisruptRadar — Projeção mensal'!B5/12</f>
        <v>500</v>
      </c>
      <c r="J8" s="20">
        <f>'DisruptRadar — Projeção mensal'!B5/12</f>
        <v>500</v>
      </c>
      <c r="K8" s="20">
        <f>'DisruptRadar — Projeção mensal'!B5/12</f>
        <v>500</v>
      </c>
      <c r="L8" s="20">
        <f>'DisruptRadar — Projeção mensal'!B5/12</f>
        <v>500</v>
      </c>
      <c r="M8" s="20">
        <f>'DisruptRadar — Projeção mensal'!B5/12</f>
        <v>500</v>
      </c>
    </row>
    <row r="9">
      <c r="A9" t="inlineStr" s="7">
        <is>
          <t xml:space="preserve">Custos totais mensais — projeção Base (EUR)</t>
        </is>
      </c>
      <c r="B9" s="20">
        <f>'DisruptRadar — Projeção men (2)'!B7+'DisruptRadar — Projeção men (2)'!B8</f>
        <v>530</v>
      </c>
      <c r="C9" s="20">
        <f>'DisruptRadar — Projeção men (2)'!C7+'DisruptRadar — Projeção men (2)'!C8</f>
        <v>620</v>
      </c>
      <c r="D9" s="20">
        <f>'DisruptRadar — Projeção men (2)'!D7+'DisruptRadar — Projeção men (2)'!D8</f>
        <v>770</v>
      </c>
      <c r="E9" s="20">
        <f>'DisruptRadar — Projeção men (2)'!E7+'DisruptRadar — Projeção men (2)'!E8</f>
        <v>920</v>
      </c>
      <c r="F9" s="20">
        <f>'DisruptRadar — Projeção men (2)'!F7+'DisruptRadar — Projeção men (2)'!F8</f>
        <v>1100</v>
      </c>
      <c r="G9" s="20">
        <f>'DisruptRadar — Projeção men (2)'!G7+'DisruptRadar — Projeção men (2)'!G8</f>
        <v>1280</v>
      </c>
      <c r="H9" s="20">
        <f>'DisruptRadar — Projeção men (2)'!H7+'DisruptRadar — Projeção men (2)'!H8</f>
        <v>1460</v>
      </c>
      <c r="I9" s="20">
        <f>'DisruptRadar — Projeção men (2)'!I7+'DisruptRadar — Projeção men (2)'!I8</f>
        <v>1640</v>
      </c>
      <c r="J9" s="20">
        <f>'DisruptRadar — Projeção men (2)'!J7+'DisruptRadar — Projeção men (2)'!J8</f>
        <v>1700</v>
      </c>
      <c r="K9" s="20">
        <f>'DisruptRadar — Projeção men (2)'!K7+'DisruptRadar — Projeção men (2)'!K8</f>
        <v>1700</v>
      </c>
      <c r="L9" s="20">
        <f>'DisruptRadar — Projeção men (2)'!L7+'DisruptRadar — Projeção men (2)'!L8</f>
        <v>1700</v>
      </c>
      <c r="M9" s="20">
        <f>'DisruptRadar — Projeção men (2)'!M7+'DisruptRadar — Projeção men (2)'!M8</f>
        <v>1700</v>
      </c>
    </row>
    <row r="10">
      <c r="A10" t="inlineStr" s="7">
        <is>
          <t xml:space="preserve">EBITDA mensal — projeção Base (EUR)</t>
        </is>
      </c>
      <c r="B10" s="20">
        <f>'DisruptRadar — Projeção men (2)'!B6-'DisruptRadar — Projeção men (2)'!B9</f>
        <v>-431</v>
      </c>
      <c r="C10" s="20">
        <f>'DisruptRadar — Projeção men (2)'!C6-'DisruptRadar — Projeção men (2)'!C9</f>
        <v>-224</v>
      </c>
      <c r="D10" s="20">
        <f>'DisruptRadar — Projeção men (2)'!D6-'DisruptRadar — Projeção men (2)'!D9</f>
        <v>121</v>
      </c>
      <c r="E10" s="20">
        <f>'DisruptRadar — Projeção men (2)'!E6-'DisruptRadar — Projeção men (2)'!E9</f>
        <v>466</v>
      </c>
      <c r="F10" s="20">
        <f>'DisruptRadar — Projeção men (2)'!F6-'DisruptRadar — Projeção men (2)'!F9</f>
        <v>880</v>
      </c>
      <c r="G10" s="20">
        <f>'DisruptRadar — Projeção men (2)'!G6-'DisruptRadar — Projeção men (2)'!G9</f>
        <v>1294</v>
      </c>
      <c r="H10" s="20">
        <f>'DisruptRadar — Projeção men (2)'!H6-'DisruptRadar — Projeção men (2)'!H9</f>
        <v>1708</v>
      </c>
      <c r="I10" s="20">
        <f>'DisruptRadar — Projeção men (2)'!I6-'DisruptRadar — Projeção men (2)'!I9</f>
        <v>2122</v>
      </c>
      <c r="J10" s="20">
        <f>'DisruptRadar — Projeção men (2)'!J6-'DisruptRadar — Projeção men (2)'!J9</f>
        <v>2260</v>
      </c>
      <c r="K10" s="20">
        <f>'DisruptRadar — Projeção men (2)'!K6-'DisruptRadar — Projeção men (2)'!K9</f>
        <v>2260</v>
      </c>
      <c r="L10" s="20">
        <f>'DisruptRadar — Projeção men (2)'!L6-'DisruptRadar — Projeção men (2)'!L9</f>
        <v>2260</v>
      </c>
      <c r="M10" s="20">
        <f>'DisruptRadar — Projeção men (2)'!M6-'DisruptRadar — Projeção men (2)'!M9</f>
        <v>2260</v>
      </c>
    </row>
    <row r="11">
      <c r="A11" t="inlineStr" s="7">
        <is>
          <t xml:space="preserve">Caixa inicial do mês — projeção Base (EUR)</t>
        </is>
      </c>
      <c r="B11" s="20">
        <f>IF(IF(IF(ISERROR(DATE(2027,1,1)=DATE(YEAR('DisruptRadar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mensal'!B6),1)))="",FALSE,IF(ISERROR(DATE(2027,1,1)=DATE(YEAR('DisruptRadar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mensal'!B6),1)))),IF('DisruptRadar Business Plan · Pr'!B7="","",'DisruptRadar Business Plan · Pr'!B7),IF('Model inputs'!B6="","",'Model inputs'!B6))</f>
        <v>20000</v>
      </c>
      <c r="C11" s="20">
        <f>IF(IF(IF(ISERROR(DATE(2027,2,1)=DATE(YEAR('DisruptRadar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mensal'!B6),1)))="",FALSE,IF(ISERROR(DATE(2027,2,1)=DATE(YEAR('DisruptRadar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mensal'!B6),1)))),IF('DisruptRadar Business Plan · Pr'!B7="","",'DisruptRadar Business Plan · Pr'!B7),IF('DisruptRadar — Projeção men (2)'!B12="","",'DisruptRadar — Projeção men (2)'!B12))</f>
        <v>19569</v>
      </c>
      <c r="D11" s="20">
        <f>IF(IF(IF(ISERROR(DATE(2027,3,1)=DATE(YEAR('DisruptRadar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mensal'!B6),1)))="",FALSE,IF(ISERROR(DATE(2027,3,1)=DATE(YEAR('DisruptRadar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mensal'!B6),1)))),IF('DisruptRadar Business Plan · Pr'!B7="","",'DisruptRadar Business Plan · Pr'!B7),IF('DisruptRadar — Projeção men (2)'!C12="","",'DisruptRadar — Projeção men (2)'!C12))</f>
        <v>19345</v>
      </c>
      <c r="E11" s="20">
        <f>IF(IF(IF(ISERROR(DATE(2027,4,1)=DATE(YEAR('DisruptRadar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mensal'!B6),1)))="",FALSE,IF(ISERROR(DATE(2027,4,1)=DATE(YEAR('DisruptRadar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mensal'!B6),1)))),IF('DisruptRadar Business Plan · Pr'!B7="","",'DisruptRadar Business Plan · Pr'!B7),IF('DisruptRadar — Projeção men (2)'!D12="","",'DisruptRadar — Projeção men (2)'!D12))</f>
        <v>19466</v>
      </c>
      <c r="F11" s="20">
        <f>IF(IF(IF(ISERROR(DATE(2027,5,1)=DATE(YEAR('DisruptRadar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mensal'!B6),1)))="",FALSE,IF(ISERROR(DATE(2027,5,1)=DATE(YEAR('DisruptRadar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mensal'!B6),1)))),IF('DisruptRadar Business Plan · Pr'!B7="","",'DisruptRadar Business Plan · Pr'!B7),IF('DisruptRadar — Projeção men (2)'!E12="","",'DisruptRadar — Projeção men (2)'!E12))</f>
        <v>19932</v>
      </c>
      <c r="G11" s="20">
        <f>IF(IF(IF(ISERROR(DATE(2027,6,1)=DATE(YEAR('DisruptRadar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mensal'!B6),1)))="",FALSE,IF(ISERROR(DATE(2027,6,1)=DATE(YEAR('DisruptRadar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mensal'!B6),1)))),IF('DisruptRadar Business Plan · Pr'!B7="","",'DisruptRadar Business Plan · Pr'!B7),IF('DisruptRadar — Projeção men (2)'!F12="","",'DisruptRadar — Projeção men (2)'!F12))</f>
        <v>20812</v>
      </c>
      <c r="H11" s="20">
        <f>IF(IF(IF(ISERROR(DATE(2027,7,1)=DATE(YEAR('DisruptRadar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mensal'!B6),1)))="",FALSE,IF(ISERROR(DATE(2027,7,1)=DATE(YEAR('DisruptRadar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mensal'!B6),1)))),IF('DisruptRadar Business Plan · Pr'!B7="","",'DisruptRadar Business Plan · Pr'!B7),IF('DisruptRadar — Projeção men (2)'!G12="","",'DisruptRadar — Projeção men (2)'!G12))</f>
        <v>22106</v>
      </c>
      <c r="I11" s="20">
        <f>IF(IF(IF(ISERROR(DATE(2027,8,1)=DATE(YEAR('DisruptRadar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mensal'!B6),1)))="",FALSE,IF(ISERROR(DATE(2027,8,1)=DATE(YEAR('DisruptRadar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mensal'!B6),1)))),IF('DisruptRadar Business Plan · Pr'!B7="","",'DisruptRadar Business Plan · Pr'!B7),IF('DisruptRadar — Projeção men (2)'!H12="","",'DisruptRadar — Projeção men (2)'!H12))</f>
        <v>23814</v>
      </c>
      <c r="J11" s="20">
        <f>IF(IF(IF(ISERROR(DATE(2027,9,1)=DATE(YEAR('DisruptRadar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mensal'!B6),1)))="",FALSE,IF(ISERROR(DATE(2027,9,1)=DATE(YEAR('DisruptRadar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mensal'!B6),1)))),IF('DisruptRadar Business Plan · Pr'!B7="","",'DisruptRadar Business Plan · Pr'!B7),IF('DisruptRadar — Projeção men (2)'!I12="","",'DisruptRadar — Projeção men (2)'!I12))</f>
        <v>25936</v>
      </c>
      <c r="K11" s="20">
        <f>IF(IF(IF(ISERROR(DATE(2027,10,1)=DATE(YEAR('DisruptRadar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mensal'!B6),1)))="",FALSE,IF(ISERROR(DATE(2027,10,1)=DATE(YEAR('DisruptRadar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mensal'!B6),1)))),IF('DisruptRadar Business Plan · Pr'!B7="","",'DisruptRadar Business Plan · Pr'!B7),IF('DisruptRadar — Projeção men (2)'!J12="","",'DisruptRadar — Projeção men (2)'!J12))</f>
        <v>28196</v>
      </c>
      <c r="L11" s="20">
        <f>IF(IF(IF(ISERROR(DATE(2027,11,1)=DATE(YEAR('DisruptRadar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mensal'!B6),1)))="",FALSE,IF(ISERROR(DATE(2027,11,1)=DATE(YEAR('DisruptRadar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mensal'!B6),1)))),IF('DisruptRadar Business Plan · Pr'!B7="","",'DisruptRadar Business Plan · Pr'!B7),IF('DisruptRadar — Projeção men (2)'!K12="","",'DisruptRadar — Projeção men (2)'!K12))</f>
        <v>30456</v>
      </c>
      <c r="M11" s="20">
        <f>IF(IF(IF(ISERROR(DATE(2027,12,1)=DATE(YEAR('DisruptRadar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mensal'!B6),1)))="",FALSE,IF(ISERROR(DATE(2027,12,1)=DATE(YEAR('DisruptRadar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mensal'!B6),1)))),IF('DisruptRadar Business Plan · Pr'!B7="","",'DisruptRadar Business Plan · Pr'!B7),IF('DisruptRadar — Projeção men (2)'!L12="","",'DisruptRadar — Projeção men (2)'!L12))</f>
        <v>32716</v>
      </c>
    </row>
    <row r="12">
      <c r="A12" t="inlineStr" s="7">
        <is>
          <t xml:space="preserve">Caixa final — projeção Base (EUR)</t>
        </is>
      </c>
      <c r="B12" s="20">
        <f>'DisruptRadar — Projeção men (2)'!B11+'DisruptRadar — Projeção men (2)'!B10</f>
        <v>19569</v>
      </c>
      <c r="C12" s="20">
        <f>'DisruptRadar — Projeção men (2)'!C11+'DisruptRadar — Projeção men (2)'!C10</f>
        <v>19345</v>
      </c>
      <c r="D12" s="20">
        <f>'DisruptRadar — Projeção men (2)'!D11+'DisruptRadar — Projeção men (2)'!D10</f>
        <v>19466</v>
      </c>
      <c r="E12" s="20">
        <f>'DisruptRadar — Projeção men (2)'!E11+'DisruptRadar — Projeção men (2)'!E10</f>
        <v>19932</v>
      </c>
      <c r="F12" s="20">
        <f>'DisruptRadar — Projeção men (2)'!F11+'DisruptRadar — Projeção men (2)'!F10</f>
        <v>20812</v>
      </c>
      <c r="G12" s="20">
        <f>'DisruptRadar — Projeção men (2)'!G11+'DisruptRadar — Projeção men (2)'!G10</f>
        <v>22106</v>
      </c>
      <c r="H12" s="20">
        <f>'DisruptRadar — Projeção men (2)'!H11+'DisruptRadar — Projeção men (2)'!H10</f>
        <v>23814</v>
      </c>
      <c r="I12" s="20">
        <f>'DisruptRadar — Projeção men (2)'!I11+'DisruptRadar — Projeção men (2)'!I10</f>
        <v>25936</v>
      </c>
      <c r="J12" s="20">
        <f>'DisruptRadar — Projeção men (2)'!J11+'DisruptRadar — Projeção men (2)'!J10</f>
        <v>28196</v>
      </c>
      <c r="K12" s="20">
        <f>'DisruptRadar — Projeção men (2)'!K11+'DisruptRadar — Projeção men (2)'!K10</f>
        <v>30456</v>
      </c>
      <c r="L12" s="20">
        <f>'DisruptRadar — Projeção men (2)'!L11+'DisruptRadar — Projeção men (2)'!L10</f>
        <v>32716</v>
      </c>
      <c r="M12" s="20">
        <f>'DisruptRadar — Projeção men (2)'!M11+'DisruptRadar — Projeção men (2)'!M10</f>
        <v>34976</v>
      </c>
    </row>
    <row r="13">
      <c r="A13" t="inlineStr" s="7">
        <is>
          <t xml:space="preserve">Movimento de caixa acumulado — projeção Base (EUR)</t>
        </is>
      </c>
      <c r="B13" s="20">
        <f>IF(IF(IF(IF(ISERROR(DATE(2027,1,1)=DATE(YEAR('DisruptRadar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mensal'!B6),1)))="",FALSE,IF(ISERROR(DATE(2027,1,1)=DATE(YEAR('DisruptRadar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mensal'!B6),1)))),0,IF('Model inputs'!B64="","",'Model inputs'!B64))="",0,IF(IF(IF(ISERROR(DATE(2027,1,1)=DATE(YEAR('DisruptRadar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mensal'!B6),1)))="",FALSE,IF(ISERROR(DATE(2027,1,1)=DATE(YEAR('DisruptRadar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mensal'!B6),1)))),0,IF('Model inputs'!B64="","",'Model inputs'!B64)))+'DisruptRadar — Projeção men (2)'!B10</f>
        <v>-431</v>
      </c>
      <c r="C13" s="20">
        <f>IF(IF(IF(IF(ISERROR(DATE(2027,2,1)=DATE(YEAR('DisruptRadar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mensal'!B6),1)))="",FALSE,IF(ISERROR(DATE(2027,2,1)=DATE(YEAR('DisruptRadar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mensal'!B6),1)))),0,IF('DisruptRadar — Projeção men (2)'!B13="","",'DisruptRadar — Projeção men (2)'!B13))="",0,IF(IF(IF(ISERROR(DATE(2027,2,1)=DATE(YEAR('DisruptRadar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mensal'!B6),1)))="",FALSE,IF(ISERROR(DATE(2027,2,1)=DATE(YEAR('DisruptRadar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mensal'!B6),1)))),0,IF('DisruptRadar — Projeção men (2)'!B13="","",'DisruptRadar — Projeção men (2)'!B13)))+'DisruptRadar — Projeção men (2)'!C10</f>
        <v>-655</v>
      </c>
      <c r="D13" s="20">
        <f>IF(IF(IF(IF(ISERROR(DATE(2027,3,1)=DATE(YEAR('DisruptRadar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mensal'!B6),1)))="",FALSE,IF(ISERROR(DATE(2027,3,1)=DATE(YEAR('DisruptRadar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mensal'!B6),1)))),0,IF('DisruptRadar — Projeção men (2)'!C13="","",'DisruptRadar — Projeção men (2)'!C13))="",0,IF(IF(IF(ISERROR(DATE(2027,3,1)=DATE(YEAR('DisruptRadar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mensal'!B6),1)))="",FALSE,IF(ISERROR(DATE(2027,3,1)=DATE(YEAR('DisruptRadar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mensal'!B6),1)))),0,IF('DisruptRadar — Projeção men (2)'!C13="","",'DisruptRadar — Projeção men (2)'!C13)))+'DisruptRadar — Projeção men (2)'!D10</f>
        <v>-534</v>
      </c>
      <c r="E13" s="20">
        <f>IF(IF(IF(IF(ISERROR(DATE(2027,4,1)=DATE(YEAR('DisruptRadar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mensal'!B6),1)))="",FALSE,IF(ISERROR(DATE(2027,4,1)=DATE(YEAR('DisruptRadar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mensal'!B6),1)))),0,IF('DisruptRadar — Projeção men (2)'!D13="","",'DisruptRadar — Projeção men (2)'!D13))="",0,IF(IF(IF(ISERROR(DATE(2027,4,1)=DATE(YEAR('DisruptRadar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mensal'!B6),1)))="",FALSE,IF(ISERROR(DATE(2027,4,1)=DATE(YEAR('DisruptRadar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mensal'!B6),1)))),0,IF('DisruptRadar — Projeção men (2)'!D13="","",'DisruptRadar — Projeção men (2)'!D13)))+'DisruptRadar — Projeção men (2)'!E10</f>
        <v>-68</v>
      </c>
      <c r="F13" s="20">
        <f>IF(IF(IF(IF(ISERROR(DATE(2027,5,1)=DATE(YEAR('DisruptRadar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mensal'!B6),1)))="",FALSE,IF(ISERROR(DATE(2027,5,1)=DATE(YEAR('DisruptRadar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mensal'!B6),1)))),0,IF('DisruptRadar — Projeção men (2)'!E13="","",'DisruptRadar — Projeção men (2)'!E13))="",0,IF(IF(IF(ISERROR(DATE(2027,5,1)=DATE(YEAR('DisruptRadar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mensal'!B6),1)))="",FALSE,IF(ISERROR(DATE(2027,5,1)=DATE(YEAR('DisruptRadar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mensal'!B6),1)))),0,IF('DisruptRadar — Projeção men (2)'!E13="","",'DisruptRadar — Projeção men (2)'!E13)))+'DisruptRadar — Projeção men (2)'!F10</f>
        <v>812</v>
      </c>
      <c r="G13" s="20">
        <f>IF(IF(IF(IF(ISERROR(DATE(2027,6,1)=DATE(YEAR('DisruptRadar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mensal'!B6),1)))="",FALSE,IF(ISERROR(DATE(2027,6,1)=DATE(YEAR('DisruptRadar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mensal'!B6),1)))),0,IF('DisruptRadar — Projeção men (2)'!F13="","",'DisruptRadar — Projeção men (2)'!F13))="",0,IF(IF(IF(ISERROR(DATE(2027,6,1)=DATE(YEAR('DisruptRadar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mensal'!B6),1)))="",FALSE,IF(ISERROR(DATE(2027,6,1)=DATE(YEAR('DisruptRadar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mensal'!B6),1)))),0,IF('DisruptRadar — Projeção men (2)'!F13="","",'DisruptRadar — Projeção men (2)'!F13)))+'DisruptRadar — Projeção men (2)'!G10</f>
        <v>2106</v>
      </c>
      <c r="H13" s="20">
        <f>IF(IF(IF(IF(ISERROR(DATE(2027,7,1)=DATE(YEAR('DisruptRadar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mensal'!B6),1)))="",FALSE,IF(ISERROR(DATE(2027,7,1)=DATE(YEAR('DisruptRadar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mensal'!B6),1)))),0,IF('DisruptRadar — Projeção men (2)'!G13="","",'DisruptRadar — Projeção men (2)'!G13))="",0,IF(IF(IF(ISERROR(DATE(2027,7,1)=DATE(YEAR('DisruptRadar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mensal'!B6),1)))="",FALSE,IF(ISERROR(DATE(2027,7,1)=DATE(YEAR('DisruptRadar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mensal'!B6),1)))),0,IF('DisruptRadar — Projeção men (2)'!G13="","",'DisruptRadar — Projeção men (2)'!G13)))+'DisruptRadar — Projeção men (2)'!H10</f>
        <v>3814</v>
      </c>
      <c r="I13" s="20">
        <f>IF(IF(IF(IF(ISERROR(DATE(2027,8,1)=DATE(YEAR('DisruptRadar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mensal'!B6),1)))="",FALSE,IF(ISERROR(DATE(2027,8,1)=DATE(YEAR('DisruptRadar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mensal'!B6),1)))),0,IF('DisruptRadar — Projeção men (2)'!H13="","",'DisruptRadar — Projeção men (2)'!H13))="",0,IF(IF(IF(ISERROR(DATE(2027,8,1)=DATE(YEAR('DisruptRadar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mensal'!B6),1)))="",FALSE,IF(ISERROR(DATE(2027,8,1)=DATE(YEAR('DisruptRadar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mensal'!B6),1)))),0,IF('DisruptRadar — Projeção men (2)'!H13="","",'DisruptRadar — Projeção men (2)'!H13)))+'DisruptRadar — Projeção men (2)'!I10</f>
        <v>5936</v>
      </c>
      <c r="J13" s="20">
        <f>IF(IF(IF(IF(ISERROR(DATE(2027,9,1)=DATE(YEAR('DisruptRadar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mensal'!B6),1)))="",FALSE,IF(ISERROR(DATE(2027,9,1)=DATE(YEAR('DisruptRadar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mensal'!B6),1)))),0,IF('DisruptRadar — Projeção men (2)'!I13="","",'DisruptRadar — Projeção men (2)'!I13))="",0,IF(IF(IF(ISERROR(DATE(2027,9,1)=DATE(YEAR('DisruptRadar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mensal'!B6),1)))="",FALSE,IF(ISERROR(DATE(2027,9,1)=DATE(YEAR('DisruptRadar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mensal'!B6),1)))),0,IF('DisruptRadar — Projeção men (2)'!I13="","",'DisruptRadar — Projeção men (2)'!I13)))+'DisruptRadar — Projeção men (2)'!J10</f>
        <v>8196</v>
      </c>
      <c r="K13" s="20">
        <f>IF(IF(IF(IF(ISERROR(DATE(2027,10,1)=DATE(YEAR('DisruptRadar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mensal'!B6),1)))="",FALSE,IF(ISERROR(DATE(2027,10,1)=DATE(YEAR('DisruptRadar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mensal'!B6),1)))),0,IF('DisruptRadar — Projeção men (2)'!J13="","",'DisruptRadar — Projeção men (2)'!J13))="",0,IF(IF(IF(ISERROR(DATE(2027,10,1)=DATE(YEAR('DisruptRadar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mensal'!B6),1)))="",FALSE,IF(ISERROR(DATE(2027,10,1)=DATE(YEAR('DisruptRadar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mensal'!B6),1)))),0,IF('DisruptRadar — Projeção men (2)'!J13="","",'DisruptRadar — Projeção men (2)'!J13)))+'DisruptRadar — Projeção men (2)'!K10</f>
        <v>10456</v>
      </c>
      <c r="L13" s="20">
        <f>IF(IF(IF(IF(ISERROR(DATE(2027,11,1)=DATE(YEAR('DisruptRadar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mensal'!B6),1)))="",FALSE,IF(ISERROR(DATE(2027,11,1)=DATE(YEAR('DisruptRadar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mensal'!B6),1)))),0,IF('DisruptRadar — Projeção men (2)'!K13="","",'DisruptRadar — Projeção men (2)'!K13))="",0,IF(IF(IF(ISERROR(DATE(2027,11,1)=DATE(YEAR('DisruptRadar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mensal'!B6),1)))="",FALSE,IF(ISERROR(DATE(2027,11,1)=DATE(YEAR('DisruptRadar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mensal'!B6),1)))),0,IF('DisruptRadar — Projeção men (2)'!K13="","",'DisruptRadar — Projeção men (2)'!K13)))+'DisruptRadar — Projeção men (2)'!L10</f>
        <v>12716</v>
      </c>
      <c r="M13" s="20">
        <f>IF(IF(IF(IF(ISERROR(DATE(2027,12,1)=DATE(YEAR('DisruptRadar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mensal'!B6),1)))="",FALSE,IF(ISERROR(DATE(2027,12,1)=DATE(YEAR('DisruptRadar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mensal'!B6),1)))),0,IF('DisruptRadar — Projeção men (2)'!L13="","",'DisruptRadar — Projeção men (2)'!L13))="",0,IF(IF(IF(ISERROR(DATE(2027,12,1)=DATE(YEAR('DisruptRadar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mensal'!B6),1)))="",FALSE,IF(ISERROR(DATE(2027,12,1)=DATE(YEAR('DisruptRadar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mensal'!B6),1)))),0,IF('DisruptRadar — Projeção men (2)'!L13="","",'DisruptRadar — Projeção men (2)'!L13)))+'DisruptRadar — Projeção men (2)'!M10</f>
        <v>14976</v>
      </c>
    </row>
    <row r="14">
      <c r="A14" t="inlineStr" s="5">
        <is>
          <t xml:space="preserve">Verificação de caixa — projeção Base (EUR)</t>
        </is>
      </c>
      <c r="B14" s="21">
        <f>'DisruptRadar — Projeção men (2)'!B12-('DisruptRadar Business Plan · Pr'!B7+'DisruptRadar — Projeção men (2)'!B13)</f>
        <v>0</v>
      </c>
      <c r="C14" s="21">
        <f>'DisruptRadar — Projeção men (2)'!C12-('DisruptRadar Business Plan · Pr'!B7+'DisruptRadar — Projeção men (2)'!C13)</f>
        <v>0</v>
      </c>
      <c r="D14" s="21">
        <f>'DisruptRadar — Projeção men (2)'!D12-('DisruptRadar Business Plan · Pr'!B7+'DisruptRadar — Projeção men (2)'!D13)</f>
        <v>0</v>
      </c>
      <c r="E14" s="21">
        <f>'DisruptRadar — Projeção men (2)'!E12-('DisruptRadar Business Plan · Pr'!B7+'DisruptRadar — Projeção men (2)'!E13)</f>
        <v>0</v>
      </c>
      <c r="F14" s="21">
        <f>'DisruptRadar — Projeção men (2)'!F12-('DisruptRadar Business Plan · Pr'!B7+'DisruptRadar — Projeção men (2)'!F13)</f>
        <v>0</v>
      </c>
      <c r="G14" s="21">
        <f>'DisruptRadar — Projeção men (2)'!G12-('DisruptRadar Business Plan · Pr'!B7+'DisruptRadar — Projeção men (2)'!G13)</f>
        <v>0</v>
      </c>
      <c r="H14" s="21">
        <f>'DisruptRadar — Projeção men (2)'!H12-('DisruptRadar Business Plan · Pr'!B7+'DisruptRadar — Projeção men (2)'!H13)</f>
        <v>0</v>
      </c>
      <c r="I14" s="21">
        <f>'DisruptRadar — Projeção men (2)'!I12-('DisruptRadar Business Plan · Pr'!B7+'DisruptRadar — Projeção men (2)'!I13)</f>
        <v>0</v>
      </c>
      <c r="J14" s="21">
        <f>'DisruptRadar — Projeção men (2)'!J12-('DisruptRadar Business Plan · Pr'!B7+'DisruptRadar — Projeção men (2)'!J13)</f>
        <v>0</v>
      </c>
      <c r="K14" s="21">
        <f>'DisruptRadar — Projeção men (2)'!K12-('DisruptRadar Business Plan · Pr'!B7+'DisruptRadar — Projeção men (2)'!K13)</f>
        <v>0</v>
      </c>
      <c r="L14" s="21">
        <f>'DisruptRadar — Projeção men (2)'!L12-('DisruptRadar Business Plan · Pr'!B7+'DisruptRadar — Projeção men (2)'!L13)</f>
        <v>0</v>
      </c>
      <c r="M14" s="21">
        <f>'DisruptRadar — Projeção men (2)'!M12-('DisruptRadar Business Plan · Pr'!B7+'DisruptRadar — Projeção men (2)'!M13)</f>
        <v>0</v>
      </c>
    </row>
  </sheetData>
  <mergeCells count="1">
    <mergeCell ref="A1:M1"/>
  </mergeCells>
</worksheet>
</file>

<file path=xl/worksheets/sheet6.xml><?xml version="1.0" encoding="utf-8"?>
<worksheet xmlns="http://schemas.openxmlformats.org/spreadsheetml/2006/main">
  <dimension ref="A1:B1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DisruptRadar — Projeção mensal · Reconciliação anual Base com a matriz</t>
        </is>
      </c>
    </row>
    <row r="2" ht="20" customHeight="1">
      <c r="A2" t="inlineStr" s="2">
        <is>
          <t xml:space="preserve">Financial model (2 pages)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Clientes-mês — projeção Base</t>
        </is>
      </c>
      <c r="B5" s="22">
        <f>SUM('DisruptRadar — Projeção men (2)'!B5,'DisruptRadar — Projeção men (2)'!C5,'DisruptRadar — Projeção men (2)'!D5,'DisruptRadar — Projeção men (2)'!E5,'DisruptRadar — Projeção men (2)'!F5,'DisruptRadar — Projeção men (2)'!G5,'DisruptRadar — Projeção men (2)'!H5,'DisruptRadar — Projeção men (2)'!I5,'DisruptRadar — Projeção men (2)'!J5,'DisruptRadar — Projeção men (2)'!K5,'DisruptRadar — Projeção men (2)'!L5,'DisruptRadar — Projeção men (2)'!M5)</f>
        <v>304</v>
      </c>
    </row>
    <row r="6">
      <c r="A6" t="inlineStr" s="7">
        <is>
          <t xml:space="preserve">Receita anual — projeção Base (EUR)</t>
        </is>
      </c>
      <c r="B6" s="10">
        <f>SUM('DisruptRadar — Projeção men (2)'!B6,'DisruptRadar — Projeção men (2)'!C6,'DisruptRadar — Projeção men (2)'!D6,'DisruptRadar — Projeção men (2)'!E6,'DisruptRadar — Projeção men (2)'!F6,'DisruptRadar — Projeção men (2)'!G6,'DisruptRadar — Projeção men (2)'!H6,'DisruptRadar — Projeção men (2)'!I6,'DisruptRadar — Projeção men (2)'!J6,'DisruptRadar — Projeção men (2)'!K6,'DisruptRadar — Projeção men (2)'!L6,'DisruptRadar — Projeção men (2)'!M6)</f>
        <v>30096</v>
      </c>
    </row>
    <row r="7">
      <c r="A7" t="inlineStr" s="7">
        <is>
          <t xml:space="preserve">Entrega anual — projeção Base (EUR)</t>
        </is>
      </c>
      <c r="B7" s="10">
        <f>SUM('DisruptRadar — Projeção men (2)'!B7,'DisruptRadar — Projeção men (2)'!C7,'DisruptRadar — Projeção men (2)'!D7,'DisruptRadar — Projeção men (2)'!E7,'DisruptRadar — Projeção men (2)'!F7,'DisruptRadar — Projeção men (2)'!G7,'DisruptRadar — Projeção men (2)'!H7,'DisruptRadar — Projeção men (2)'!I7,'DisruptRadar — Projeção men (2)'!J7,'DisruptRadar — Projeção men (2)'!K7,'DisruptRadar — Projeção men (2)'!L7,'DisruptRadar — Projeção men (2)'!M7)</f>
        <v>9120</v>
      </c>
    </row>
    <row r="8">
      <c r="A8" t="inlineStr" s="7">
        <is>
          <t xml:space="preserve">Fixos anuais calculados — projeção Base (EUR)</t>
        </is>
      </c>
      <c r="B8" s="10">
        <f>SUM('DisruptRadar — Projeção men (2)'!B8,'DisruptRadar — Projeção men (2)'!C8,'DisruptRadar — Projeção men (2)'!D8,'DisruptRadar — Projeção men (2)'!E8,'DisruptRadar — Projeção men (2)'!F8,'DisruptRadar — Projeção men (2)'!G8,'DisruptRadar — Projeção men (2)'!H8,'DisruptRadar — Projeção men (2)'!I8,'DisruptRadar — Projeção men (2)'!J8,'DisruptRadar — Projeção men (2)'!K8,'DisruptRadar — Projeção men (2)'!L8,'DisruptRadar — Projeção men (2)'!M8)</f>
        <v>6000</v>
      </c>
    </row>
    <row r="9">
      <c r="A9" t="inlineStr" s="7">
        <is>
          <t xml:space="preserve">Custos anuais — projeção Base (EUR)</t>
        </is>
      </c>
      <c r="B9" s="10">
        <f>SUM('DisruptRadar — Projeção men (2)'!B9,'DisruptRadar — Projeção men (2)'!C9,'DisruptRadar — Projeção men (2)'!D9,'DisruptRadar — Projeção men (2)'!E9,'DisruptRadar — Projeção men (2)'!F9,'DisruptRadar — Projeção men (2)'!G9,'DisruptRadar — Projeção men (2)'!H9,'DisruptRadar — Projeção men (2)'!I9,'DisruptRadar — Projeção men (2)'!J9,'DisruptRadar — Projeção men (2)'!K9,'DisruptRadar — Projeção men (2)'!L9,'DisruptRadar — Projeção men (2)'!M9)</f>
        <v>15120</v>
      </c>
    </row>
    <row r="10">
      <c r="A10" t="inlineStr" s="7">
        <is>
          <t xml:space="preserve">EBITDA anual — projeção Base (EUR)</t>
        </is>
      </c>
      <c r="B10" s="10">
        <f>SUM('DisruptRadar — Projeção men (2)'!B10,'DisruptRadar — Projeção men (2)'!C10,'DisruptRadar — Projeção men (2)'!D10,'DisruptRadar — Projeção men (2)'!E10,'DisruptRadar — Projeção men (2)'!F10,'DisruptRadar — Projeção men (2)'!G10,'DisruptRadar — Projeção men (2)'!H10,'DisruptRadar — Projeção men (2)'!I10,'DisruptRadar — Projeção men (2)'!J10,'DisruptRadar — Projeção men (2)'!K10,'DisruptRadar — Projeção men (2)'!L10,'DisruptRadar — Projeção men (2)'!M10)</f>
        <v>14976</v>
      </c>
    </row>
    <row r="11">
      <c r="A11" t="inlineStr" s="7">
        <is>
          <t xml:space="preserve">Caixa mínima — projeção Base (EUR)</t>
        </is>
      </c>
      <c r="B11" s="10">
        <f>MIN('DisruptRadar — Projeção men (2)'!B12,'DisruptRadar — Projeção men (2)'!C12,'DisruptRadar — Projeção men (2)'!D12,'DisruptRadar — Projeção men (2)'!E12,'DisruptRadar — Projeção men (2)'!F12,'DisruptRadar — Projeção men (2)'!G12,'DisruptRadar — Projeção men (2)'!H12,'DisruptRadar — Projeção men (2)'!I12,'DisruptRadar — Projeção men (2)'!J12,'DisruptRadar — Projeção men (2)'!K12,'DisruptRadar — Projeção men (2)'!L12,'DisruptRadar — Projeção men (2)'!M12)</f>
        <v>19345</v>
      </c>
    </row>
    <row r="12">
      <c r="A12" t="inlineStr" s="7">
        <is>
          <t xml:space="preserve">Caixa ao fim do ano — projeção Base (EUR)</t>
        </is>
      </c>
      <c r="B12" s="10">
        <f>IF('DisruptRadar — Projeção men (2)'!M12="","",'DisruptRadar — Projeção men (2)'!M12)</f>
        <v>34976</v>
      </c>
    </row>
    <row r="13">
      <c r="A13" t="inlineStr" s="7">
        <is>
          <t xml:space="preserve">Diferença de receita vs matriz Base (EUR)</t>
        </is>
      </c>
      <c r="B13" s="10">
        <f>'DisruptRadar — Projeção men (3)'!B6-'DisruptRadar Business Plan · Ma'!B6</f>
        <v>0</v>
      </c>
    </row>
    <row r="14">
      <c r="A14" t="inlineStr" s="7">
        <is>
          <t xml:space="preserve">Diferença de custos vs matriz Base (EUR)</t>
        </is>
      </c>
      <c r="B14" s="10">
        <f>'DisruptRadar — Projeção men (3)'!B9-'DisruptRadar Business Plan · Ma'!B7</f>
        <v>0</v>
      </c>
    </row>
    <row r="15">
      <c r="A15" t="inlineStr" s="5">
        <is>
          <t xml:space="preserve">Diferença de EBITDA vs matriz Base (EUR)</t>
        </is>
      </c>
      <c r="B15" s="23">
        <f>'DisruptRadar — Projeção men (3)'!B10-'DisruptRadar Business Plan · Ma'!B8</f>
        <v>0</v>
      </c>
    </row>
  </sheetData>
  <mergeCells count="1">
    <mergeCell ref="A1:B1"/>
  </mergeCells>
</worksheet>
</file>

<file path=xl/worksheets/sheet7.xml><?xml version="1.0" encoding="utf-8"?>
<worksheet xmlns="http://schemas.openxmlformats.org/spreadsheetml/2006/main">
  <dimension ref="A1:E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DisruptRadar — Projeção mensal · Sensibilidade Base — fixos mensais</t>
        </is>
      </c>
    </row>
    <row r="2" ht="20" customHeight="1">
      <c r="A2" t="inlineStr" s="2">
        <is>
          <t xml:space="preserve">Financial model (2 pages)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Base — fixos 300 €/mês</t>
        </is>
      </c>
      <c r="D4" t="inlineStr" s="4">
        <is>
          <t xml:space="preserve">Value &gt; Base — fixos 400 €/mês</t>
        </is>
      </c>
      <c r="E4" t="inlineStr" s="4">
        <is>
          <t xml:space="preserve">Value &gt; Base — fixos 500 €/mês</t>
        </is>
      </c>
    </row>
    <row r="5">
      <c r="A5" t="inlineStr" s="5">
        <is>
          <t xml:space="preserve">Fixos anuais da projeção Base (EUR)</t>
        </is>
      </c>
      <c r="B5" s="6">
        <f>'DisruptRadar — Projeção mensal'!B5</f>
        <v>6000</v>
      </c>
      <c r="C5" s="6">
        <f>3600</f>
        <v>3600</v>
      </c>
      <c r="D5" s="6">
        <f>4800</f>
        <v>4800</v>
      </c>
      <c r="E5" s="6">
        <f>6000</f>
        <v>6000</v>
      </c>
    </row>
    <row r="6">
      <c r="A6" t="inlineStr" s="7">
        <is>
          <t xml:space="preserve">Custos anuais — projeção Base (EUR)</t>
        </is>
      </c>
      <c r="B6" s="9">
        <f>SUM('DisruptRadar — Projeção men (2)'!B9,'DisruptRadar — Projeção men (2)'!C9,'DisruptRadar — Projeção men (2)'!D9,'DisruptRadar — Projeção men (2)'!E9,'DisruptRadar — Projeção men (2)'!F9,'DisruptRadar — Projeção men (2)'!G9,'DisruptRadar — Projeção men (2)'!H9,'DisruptRadar — Projeção men (2)'!I9,'DisruptRadar — Projeção men (2)'!J9,'DisruptRadar — Projeção men (2)'!K9,'DisruptRadar — Projeção men (2)'!L9,'DisruptRadar — Projeção men (2)'!M9)</f>
        <v>15120</v>
      </c>
      <c r="C6" s="9">
        <f>SUM('Model inputs'!C33,'Model inputs'!D33,'Model inputs'!E33,'Model inputs'!F33,'Model inputs'!G33,'Model inputs'!H33,'Model inputs'!I33,'Model inputs'!J33,'Model inputs'!K33,'Model inputs'!L33,'Model inputs'!M33,'Model inputs'!N33)</f>
        <v>12720</v>
      </c>
      <c r="D6" s="9">
        <f>SUM('Model inputs'!C32,'Model inputs'!D32,'Model inputs'!E32,'Model inputs'!F32,'Model inputs'!G32,'Model inputs'!H32,'Model inputs'!I32,'Model inputs'!J32,'Model inputs'!K32,'Model inputs'!L32,'Model inputs'!M32,'Model inputs'!N32)</f>
        <v>13920</v>
      </c>
      <c r="E6" s="9">
        <f>SUM('Model inputs'!C34,'Model inputs'!D34,'Model inputs'!E34,'Model inputs'!F34,'Model inputs'!G34,'Model inputs'!H34,'Model inputs'!I34,'Model inputs'!J34,'Model inputs'!K34,'Model inputs'!L34,'Model inputs'!M34,'Model inputs'!N34)</f>
        <v>15120</v>
      </c>
    </row>
    <row r="7">
      <c r="A7" t="inlineStr" s="7">
        <is>
          <t xml:space="preserve">EBITDA anual — projeção Base (EUR)</t>
        </is>
      </c>
      <c r="B7" s="9">
        <f>SUM('DisruptRadar — Projeção men (2)'!B10,'DisruptRadar — Projeção men (2)'!C10,'DisruptRadar — Projeção men (2)'!D10,'DisruptRadar — Projeção men (2)'!E10,'DisruptRadar — Projeção men (2)'!F10,'DisruptRadar — Projeção men (2)'!G10,'DisruptRadar — Projeção men (2)'!H10,'DisruptRadar — Projeção men (2)'!I10,'DisruptRadar — Projeção men (2)'!J10,'DisruptRadar — Projeção men (2)'!K10,'DisruptRadar — Projeção men (2)'!L10,'DisruptRadar — Projeção men (2)'!M10)</f>
        <v>14976</v>
      </c>
      <c r="C7" s="9">
        <f>SUM('Model inputs'!C45,'Model inputs'!D45,'Model inputs'!E45,'Model inputs'!F45,'Model inputs'!G45,'Model inputs'!H45,'Model inputs'!I45,'Model inputs'!J45,'Model inputs'!K45,'Model inputs'!L45,'Model inputs'!M45,'Model inputs'!N45)</f>
        <v>17376</v>
      </c>
      <c r="D7" s="9">
        <f>SUM('Model inputs'!C43,'Model inputs'!D43,'Model inputs'!E43,'Model inputs'!F43,'Model inputs'!G43,'Model inputs'!H43,'Model inputs'!I43,'Model inputs'!J43,'Model inputs'!K43,'Model inputs'!L43,'Model inputs'!M43,'Model inputs'!N43)</f>
        <v>16176</v>
      </c>
      <c r="E7" s="9">
        <f>SUM('Model inputs'!C48,'Model inputs'!D48,'Model inputs'!E48,'Model inputs'!F48,'Model inputs'!G48,'Model inputs'!H48,'Model inputs'!I48,'Model inputs'!J48,'Model inputs'!K48,'Model inputs'!L48,'Model inputs'!M48,'Model inputs'!N48)</f>
        <v>14976</v>
      </c>
    </row>
    <row r="8">
      <c r="A8" t="inlineStr" s="7">
        <is>
          <t xml:space="preserve">Caixa mínima — projeção Base (EUR)</t>
        </is>
      </c>
      <c r="B8" s="9">
        <f>MIN('DisruptRadar — Projeção men (2)'!B12,'DisruptRadar — Projeção men (2)'!C12,'DisruptRadar — Projeção men (2)'!D12,'DisruptRadar — Projeção men (2)'!E12,'DisruptRadar — Projeção men (2)'!F12,'DisruptRadar — Projeção men (2)'!G12,'DisruptRadar — Projeção men (2)'!H12,'DisruptRadar — Projeção men (2)'!I12,'DisruptRadar — Projeção men (2)'!J12,'DisruptRadar — Projeção men (2)'!K12,'DisruptRadar — Projeção men (2)'!L12,'DisruptRadar — Projeção men (2)'!M12)</f>
        <v>19345</v>
      </c>
      <c r="C8" s="9">
        <f>MIN('Model inputs'!C9,'Model inputs'!D9,'Model inputs'!E9,'Model inputs'!F9,'Model inputs'!G9,'Model inputs'!H9,'Model inputs'!I9,'Model inputs'!J9,'Model inputs'!K9,'Model inputs'!L9,'Model inputs'!M9,'Model inputs'!N9)</f>
        <v>19745</v>
      </c>
      <c r="D8" s="9">
        <f>MIN('Model inputs'!C8,'Model inputs'!D8,'Model inputs'!E8,'Model inputs'!F8,'Model inputs'!G8,'Model inputs'!H8,'Model inputs'!I8,'Model inputs'!J8,'Model inputs'!K8,'Model inputs'!L8,'Model inputs'!M8,'Model inputs'!N8)</f>
        <v>19545</v>
      </c>
      <c r="E8" s="9">
        <f>MIN('Model inputs'!C10,'Model inputs'!D10,'Model inputs'!E10,'Model inputs'!F10,'Model inputs'!G10,'Model inputs'!H10,'Model inputs'!I10,'Model inputs'!J10,'Model inputs'!K10,'Model inputs'!L10,'Model inputs'!M10,'Model inputs'!N10)</f>
        <v>19345</v>
      </c>
    </row>
    <row r="9">
      <c r="A9" t="inlineStr" s="5">
        <is>
          <t xml:space="preserve">Caixa ao fim do ano — projeção Base (EUR)</t>
        </is>
      </c>
      <c r="B9" s="6">
        <f>IF('DisruptRadar — Projeção men (2)'!M12="","",'DisruptRadar — Projeção men (2)'!M12)</f>
        <v>34976</v>
      </c>
      <c r="C9" s="6">
        <f>IF('Model inputs'!N9="","",'Model inputs'!N9)</f>
        <v>37376</v>
      </c>
      <c r="D9" s="6">
        <f>IF('Model inputs'!N8="","",'Model inputs'!N8)</f>
        <v>36176</v>
      </c>
      <c r="E9" s="6">
        <f>IF('Model inputs'!N10="","",'Model inputs'!N10)</f>
        <v>34976</v>
      </c>
    </row>
  </sheetData>
  <mergeCells count="1">
    <mergeCell ref="A1:E1"/>
  </mergeCells>
</worksheet>
</file>

<file path=xl/worksheets/sheet8.xml><?xml version="1.0" encoding="utf-8"?>
<worksheet xmlns="http://schemas.openxmlformats.org/spreadsheetml/2006/main">
  <dimension ref="A1:J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</cols>
  <sheetData>
    <row r="1" ht="32" customHeight="1">
      <c r="A1" t="inlineStr" s="1">
        <is>
          <t xml:space="preserve">DisruptRadar — Projeção mensal · Sensibilidade completa — preço Pro e fixos</t>
        </is>
      </c>
    </row>
    <row r="2" ht="20" customHeight="1">
      <c r="A2" t="inlineStr" s="2">
        <is>
          <t xml:space="preserve">Financial model (2 pages)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Base — fixos 300 €/mês</t>
        </is>
      </c>
      <c r="D4" t="inlineStr" s="4">
        <is>
          <t xml:space="preserve">Value &gt; Base — fixos 400 €/mês</t>
        </is>
      </c>
      <c r="E4" t="inlineStr" s="4">
        <is>
          <t xml:space="preserve">Value &gt; Teste Pro 109 € — fixos 300 €/mês</t>
        </is>
      </c>
      <c r="F4" t="inlineStr" s="4">
        <is>
          <t xml:space="preserve">Value &gt; Teste Pro 109 € — fixos 400 €/mês</t>
        </is>
      </c>
      <c r="G4" t="inlineStr" s="4">
        <is>
          <t xml:space="preserve">Value &gt; Teste Pro 109 € — fixos 500 €/mês</t>
        </is>
      </c>
      <c r="H4" t="inlineStr" s="4">
        <is>
          <t xml:space="preserve">Value &gt; Teste Pro 119 € — fixos 300 €/mês</t>
        </is>
      </c>
      <c r="I4" t="inlineStr" s="4">
        <is>
          <t xml:space="preserve">Value &gt; Teste Pro 119 € — fixos 400 €/mês</t>
        </is>
      </c>
      <c r="J4" t="inlineStr" s="4">
        <is>
          <t xml:space="preserve">Value &gt; Teste Pro 119 € — fixos 500 €/mês</t>
        </is>
      </c>
    </row>
    <row r="5">
      <c r="A5" t="inlineStr" s="5">
        <is>
          <t xml:space="preserve">Preço mensal Pro (EUR)</t>
        </is>
      </c>
      <c r="B5" s="6">
        <f>99</f>
        <v>99</v>
      </c>
      <c r="C5" s="6">
        <f>99</f>
        <v>99</v>
      </c>
      <c r="D5" s="6">
        <f>99</f>
        <v>99</v>
      </c>
      <c r="E5" s="6">
        <f>109</f>
        <v>109</v>
      </c>
      <c r="F5" s="6">
        <f>109</f>
        <v>109</v>
      </c>
      <c r="G5" s="6">
        <f>109</f>
        <v>109</v>
      </c>
      <c r="H5" s="6">
        <f>119</f>
        <v>119</v>
      </c>
      <c r="I5" s="6">
        <f>119</f>
        <v>119</v>
      </c>
      <c r="J5" s="6">
        <f>119</f>
        <v>119</v>
      </c>
    </row>
    <row r="6">
      <c r="A6" t="inlineStr" s="7">
        <is>
          <t xml:space="preserve">Fixos anuais da projeção Base (EUR)</t>
        </is>
      </c>
      <c r="B6" s="9">
        <f>'DisruptRadar — Projeção mensal'!B5</f>
        <v>6000</v>
      </c>
      <c r="C6" s="9">
        <f>'DisruptRadar — Projeção men (4)'!C5</f>
        <v>3600</v>
      </c>
      <c r="D6" s="9">
        <f>'DisruptRadar — Projeção men (4)'!D5</f>
        <v>4800</v>
      </c>
      <c r="E6" s="9">
        <f>3600</f>
        <v>3600</v>
      </c>
      <c r="F6" s="9">
        <f>4800</f>
        <v>4800</v>
      </c>
      <c r="G6" s="9">
        <f>6000</f>
        <v>6000</v>
      </c>
      <c r="H6" s="9">
        <f>3600</f>
        <v>3600</v>
      </c>
      <c r="I6" s="9">
        <f>4800</f>
        <v>4800</v>
      </c>
      <c r="J6" s="9">
        <f>6000</f>
        <v>6000</v>
      </c>
    </row>
    <row r="7">
      <c r="A7" t="inlineStr" s="7">
        <is>
          <t xml:space="preserve">Clientes-mês — projeção Base</t>
        </is>
      </c>
      <c r="B7" s="9">
        <f>SUM('DisruptRadar — Projeção men (2)'!B5,'DisruptRadar — Projeção men (2)'!C5,'DisruptRadar — Projeção men (2)'!D5,'DisruptRadar — Projeção men (2)'!E5,'DisruptRadar — Projeção men (2)'!F5,'DisruptRadar — Projeção men (2)'!G5,'DisruptRadar — Projeção men (2)'!H5,'DisruptRadar — Projeção men (2)'!I5,'DisruptRadar — Projeção men (2)'!J5,'DisruptRadar — Projeção men (2)'!K5,'DisruptRadar — Projeção men (2)'!L5,'DisruptRadar — Projeção men (2)'!M5)</f>
        <v>304</v>
      </c>
      <c r="C7" s="9">
        <f>SUM('Model inputs'!C20,'Model inputs'!D20,'Model inputs'!E20,'Model inputs'!F20,'Model inputs'!G20,'Model inputs'!H20,'Model inputs'!I20,'Model inputs'!J20,'Model inputs'!K20,'Model inputs'!L20,'Model inputs'!M20,'Model inputs'!N20)</f>
        <v>304</v>
      </c>
      <c r="D7" s="9">
        <f>SUM('Model inputs'!C18,'Model inputs'!D18,'Model inputs'!E18,'Model inputs'!F18,'Model inputs'!G18,'Model inputs'!H18,'Model inputs'!I18,'Model inputs'!J18,'Model inputs'!K18,'Model inputs'!L18,'Model inputs'!M18,'Model inputs'!N18)</f>
        <v>304</v>
      </c>
      <c r="E7" s="9">
        <f>SUM('Model inputs'!C23,'Model inputs'!D23,'Model inputs'!E23,'Model inputs'!F23,'Model inputs'!G23,'Model inputs'!H23,'Model inputs'!I23,'Model inputs'!J23,'Model inputs'!K23,'Model inputs'!L23,'Model inputs'!M23,'Model inputs'!N23)</f>
        <v>304</v>
      </c>
      <c r="F7" s="9">
        <f>SUM('Model inputs'!C19,'Model inputs'!D19,'Model inputs'!E19,'Model inputs'!F19,'Model inputs'!G19,'Model inputs'!H19,'Model inputs'!I19,'Model inputs'!J19,'Model inputs'!K19,'Model inputs'!L19,'Model inputs'!M19,'Model inputs'!N19)</f>
        <v>304</v>
      </c>
      <c r="G7" s="9">
        <f>SUM('Model inputs'!C17,'Model inputs'!D17,'Model inputs'!E17,'Model inputs'!F17,'Model inputs'!G17,'Model inputs'!H17,'Model inputs'!I17,'Model inputs'!J17,'Model inputs'!K17,'Model inputs'!L17,'Model inputs'!M17,'Model inputs'!N17)</f>
        <v>304</v>
      </c>
      <c r="H7" s="9">
        <f>SUM('Model inputs'!C24,'Model inputs'!D24,'Model inputs'!E24,'Model inputs'!F24,'Model inputs'!G24,'Model inputs'!H24,'Model inputs'!I24,'Model inputs'!J24,'Model inputs'!K24,'Model inputs'!L24,'Model inputs'!M24,'Model inputs'!N24)</f>
        <v>304</v>
      </c>
      <c r="I7" s="9">
        <f>SUM('Model inputs'!C22,'Model inputs'!D22,'Model inputs'!E22,'Model inputs'!F22,'Model inputs'!G22,'Model inputs'!H22,'Model inputs'!I22,'Model inputs'!J22,'Model inputs'!K22,'Model inputs'!L22,'Model inputs'!M22,'Model inputs'!N22)</f>
        <v>304</v>
      </c>
      <c r="J7" s="9">
        <f>SUM('Model inputs'!C21,'Model inputs'!D21,'Model inputs'!E21,'Model inputs'!F21,'Model inputs'!G21,'Model inputs'!H21,'Model inputs'!I21,'Model inputs'!J21,'Model inputs'!K21,'Model inputs'!L21,'Model inputs'!M21,'Model inputs'!N21)</f>
        <v>304</v>
      </c>
    </row>
    <row r="8">
      <c r="A8" t="inlineStr" s="7">
        <is>
          <t xml:space="preserve">Receita anual — projeção Base (EUR)</t>
        </is>
      </c>
      <c r="B8" s="9">
        <f>SUM('DisruptRadar — Projeção men (2)'!B6,'DisruptRadar — Projeção men (2)'!C6,'DisruptRadar — Projeção men (2)'!D6,'DisruptRadar — Projeção men (2)'!E6,'DisruptRadar — Projeção men (2)'!F6,'DisruptRadar — Projeção men (2)'!G6,'DisruptRadar — Projeção men (2)'!H6,'DisruptRadar — Projeção men (2)'!I6,'DisruptRadar — Projeção men (2)'!J6,'DisruptRadar — Projeção men (2)'!K6,'DisruptRadar — Projeção men (2)'!L6,'DisruptRadar — Projeção men (2)'!M6)</f>
        <v>30096</v>
      </c>
      <c r="C8" s="9">
        <f>SUM('Model inputs'!C71,'Model inputs'!D71,'Model inputs'!E71,'Model inputs'!F71,'Model inputs'!G71,'Model inputs'!H71,'Model inputs'!I71,'Model inputs'!J71,'Model inputs'!K71,'Model inputs'!L71,'Model inputs'!M71,'Model inputs'!N71)</f>
        <v>30096</v>
      </c>
      <c r="D8" s="9">
        <f>SUM('Model inputs'!C69,'Model inputs'!D69,'Model inputs'!E69,'Model inputs'!F69,'Model inputs'!G69,'Model inputs'!H69,'Model inputs'!I69,'Model inputs'!J69,'Model inputs'!K69,'Model inputs'!L69,'Model inputs'!M69,'Model inputs'!N69)</f>
        <v>30096</v>
      </c>
      <c r="E8" s="9">
        <f>SUM('Model inputs'!C74,'Model inputs'!D74,'Model inputs'!E74,'Model inputs'!F74,'Model inputs'!G74,'Model inputs'!H74,'Model inputs'!I74,'Model inputs'!J74,'Model inputs'!K74,'Model inputs'!L74,'Model inputs'!M74,'Model inputs'!N74)</f>
        <v>33136</v>
      </c>
      <c r="F8" s="9">
        <f>SUM('Model inputs'!C70,'Model inputs'!D70,'Model inputs'!E70,'Model inputs'!F70,'Model inputs'!G70,'Model inputs'!H70,'Model inputs'!I70,'Model inputs'!J70,'Model inputs'!K70,'Model inputs'!L70,'Model inputs'!M70,'Model inputs'!N70)</f>
        <v>33136</v>
      </c>
      <c r="G8" s="9">
        <f>SUM('Model inputs'!C68,'Model inputs'!D68,'Model inputs'!E68,'Model inputs'!F68,'Model inputs'!G68,'Model inputs'!H68,'Model inputs'!I68,'Model inputs'!J68,'Model inputs'!K68,'Model inputs'!L68,'Model inputs'!M68,'Model inputs'!N68)</f>
        <v>33136</v>
      </c>
      <c r="H8" s="9">
        <f>SUM('Model inputs'!C75,'Model inputs'!D75,'Model inputs'!E75,'Model inputs'!F75,'Model inputs'!G75,'Model inputs'!H75,'Model inputs'!I75,'Model inputs'!J75,'Model inputs'!K75,'Model inputs'!L75,'Model inputs'!M75,'Model inputs'!N75)</f>
        <v>36176</v>
      </c>
      <c r="I8" s="9">
        <f>SUM('Model inputs'!C73,'Model inputs'!D73,'Model inputs'!E73,'Model inputs'!F73,'Model inputs'!G73,'Model inputs'!H73,'Model inputs'!I73,'Model inputs'!J73,'Model inputs'!K73,'Model inputs'!L73,'Model inputs'!M73,'Model inputs'!N73)</f>
        <v>36176</v>
      </c>
      <c r="J8" s="9">
        <f>SUM('Model inputs'!C72,'Model inputs'!D72,'Model inputs'!E72,'Model inputs'!F72,'Model inputs'!G72,'Model inputs'!H72,'Model inputs'!I72,'Model inputs'!J72,'Model inputs'!K72,'Model inputs'!L72,'Model inputs'!M72,'Model inputs'!N72)</f>
        <v>36176</v>
      </c>
    </row>
    <row r="9">
      <c r="A9" t="inlineStr" s="7">
        <is>
          <t xml:space="preserve">Entrega anual — projeção Base (EUR)</t>
        </is>
      </c>
      <c r="B9" s="9">
        <f>SUM('DisruptRadar — Projeção men (2)'!B7,'DisruptRadar — Projeção men (2)'!C7,'DisruptRadar — Projeção men (2)'!D7,'DisruptRadar — Projeção men (2)'!E7,'DisruptRadar — Projeção men (2)'!F7,'DisruptRadar — Projeção men (2)'!G7,'DisruptRadar — Projeção men (2)'!H7,'DisruptRadar — Projeção men (2)'!I7,'DisruptRadar — Projeção men (2)'!J7,'DisruptRadar — Projeção men (2)'!K7,'DisruptRadar — Projeção men (2)'!L7,'DisruptRadar — Projeção men (2)'!M7)</f>
        <v>9120</v>
      </c>
      <c r="C9" s="9">
        <f>SUM('Model inputs'!C55,'Model inputs'!D55,'Model inputs'!E55,'Model inputs'!F55,'Model inputs'!G55,'Model inputs'!H55,'Model inputs'!I55,'Model inputs'!J55,'Model inputs'!K55,'Model inputs'!L55,'Model inputs'!M55,'Model inputs'!N55)</f>
        <v>9120</v>
      </c>
      <c r="D9" s="9">
        <f>SUM('Model inputs'!C53,'Model inputs'!D53,'Model inputs'!E53,'Model inputs'!F53,'Model inputs'!G53,'Model inputs'!H53,'Model inputs'!I53,'Model inputs'!J53,'Model inputs'!K53,'Model inputs'!L53,'Model inputs'!M53,'Model inputs'!N53)</f>
        <v>9120</v>
      </c>
      <c r="E9" s="9">
        <f>SUM('Model inputs'!C58,'Model inputs'!D58,'Model inputs'!E58,'Model inputs'!F58,'Model inputs'!G58,'Model inputs'!H58,'Model inputs'!I58,'Model inputs'!J58,'Model inputs'!K58,'Model inputs'!L58,'Model inputs'!M58,'Model inputs'!N58)</f>
        <v>9120</v>
      </c>
      <c r="F9" s="9">
        <f>SUM('Model inputs'!C54,'Model inputs'!D54,'Model inputs'!E54,'Model inputs'!F54,'Model inputs'!G54,'Model inputs'!H54,'Model inputs'!I54,'Model inputs'!J54,'Model inputs'!K54,'Model inputs'!L54,'Model inputs'!M54,'Model inputs'!N54)</f>
        <v>9120</v>
      </c>
      <c r="G9" s="9">
        <f>SUM('Model inputs'!C52,'Model inputs'!D52,'Model inputs'!E52,'Model inputs'!F52,'Model inputs'!G52,'Model inputs'!H52,'Model inputs'!I52,'Model inputs'!J52,'Model inputs'!K52,'Model inputs'!L52,'Model inputs'!M52,'Model inputs'!N52)</f>
        <v>9120</v>
      </c>
      <c r="H9" s="9">
        <f>SUM('Model inputs'!C59,'Model inputs'!D59,'Model inputs'!E59,'Model inputs'!F59,'Model inputs'!G59,'Model inputs'!H59,'Model inputs'!I59,'Model inputs'!J59,'Model inputs'!K59,'Model inputs'!L59,'Model inputs'!M59,'Model inputs'!N59)</f>
        <v>9120</v>
      </c>
      <c r="I9" s="9">
        <f>SUM('Model inputs'!C57,'Model inputs'!D57,'Model inputs'!E57,'Model inputs'!F57,'Model inputs'!G57,'Model inputs'!H57,'Model inputs'!I57,'Model inputs'!J57,'Model inputs'!K57,'Model inputs'!L57,'Model inputs'!M57,'Model inputs'!N57)</f>
        <v>9120</v>
      </c>
      <c r="J9" s="9">
        <f>SUM('Model inputs'!C56,'Model inputs'!D56,'Model inputs'!E56,'Model inputs'!F56,'Model inputs'!G56,'Model inputs'!H56,'Model inputs'!I56,'Model inputs'!J56,'Model inputs'!K56,'Model inputs'!L56,'Model inputs'!M56,'Model inputs'!N56)</f>
        <v>9120</v>
      </c>
    </row>
    <row r="10">
      <c r="A10" t="inlineStr" s="5">
        <is>
          <t xml:space="preserve">EBITDA anual — projeção Base (EUR)</t>
        </is>
      </c>
      <c r="B10" s="6">
        <f>SUM('DisruptRadar — Projeção men (2)'!B10,'DisruptRadar — Projeção men (2)'!C10,'DisruptRadar — Projeção men (2)'!D10,'DisruptRadar — Projeção men (2)'!E10,'DisruptRadar — Projeção men (2)'!F10,'DisruptRadar — Projeção men (2)'!G10,'DisruptRadar — Projeção men (2)'!H10,'DisruptRadar — Projeção men (2)'!I10,'DisruptRadar — Projeção men (2)'!J10,'DisruptRadar — Projeção men (2)'!K10,'DisruptRadar — Projeção men (2)'!L10,'DisruptRadar — Projeção men (2)'!M10)</f>
        <v>14976</v>
      </c>
      <c r="C10" s="6">
        <f>SUM('Model inputs'!C45,'Model inputs'!D45,'Model inputs'!E45,'Model inputs'!F45,'Model inputs'!G45,'Model inputs'!H45,'Model inputs'!I45,'Model inputs'!J45,'Model inputs'!K45,'Model inputs'!L45,'Model inputs'!M45,'Model inputs'!N45)</f>
        <v>17376</v>
      </c>
      <c r="D10" s="6">
        <f>SUM('Model inputs'!C43,'Model inputs'!D43,'Model inputs'!E43,'Model inputs'!F43,'Model inputs'!G43,'Model inputs'!H43,'Model inputs'!I43,'Model inputs'!J43,'Model inputs'!K43,'Model inputs'!L43,'Model inputs'!M43,'Model inputs'!N43)</f>
        <v>16176</v>
      </c>
      <c r="E10" s="6">
        <f>SUM('Model inputs'!C49,'Model inputs'!D49,'Model inputs'!E49,'Model inputs'!F49,'Model inputs'!G49,'Model inputs'!H49,'Model inputs'!I49,'Model inputs'!J49,'Model inputs'!K49,'Model inputs'!L49,'Model inputs'!M49,'Model inputs'!N49)</f>
        <v>20416</v>
      </c>
      <c r="F10" s="6">
        <f>SUM('Model inputs'!C44,'Model inputs'!D44,'Model inputs'!E44,'Model inputs'!F44,'Model inputs'!G44,'Model inputs'!H44,'Model inputs'!I44,'Model inputs'!J44,'Model inputs'!K44,'Model inputs'!L44,'Model inputs'!M44,'Model inputs'!N44)</f>
        <v>19216</v>
      </c>
      <c r="G10" s="6">
        <f>SUM('Model inputs'!C42,'Model inputs'!D42,'Model inputs'!E42,'Model inputs'!F42,'Model inputs'!G42,'Model inputs'!H42,'Model inputs'!I42,'Model inputs'!J42,'Model inputs'!K42,'Model inputs'!L42,'Model inputs'!M42,'Model inputs'!N42)</f>
        <v>18016</v>
      </c>
      <c r="H10" s="6">
        <f>SUM('Model inputs'!C50,'Model inputs'!D50,'Model inputs'!E50,'Model inputs'!F50,'Model inputs'!G50,'Model inputs'!H50,'Model inputs'!I50,'Model inputs'!J50,'Model inputs'!K50,'Model inputs'!L50,'Model inputs'!M50,'Model inputs'!N50)</f>
        <v>23456</v>
      </c>
      <c r="I10" s="6">
        <f>SUM('Model inputs'!C47,'Model inputs'!D47,'Model inputs'!E47,'Model inputs'!F47,'Model inputs'!G47,'Model inputs'!H47,'Model inputs'!I47,'Model inputs'!J47,'Model inputs'!K47,'Model inputs'!L47,'Model inputs'!M47,'Model inputs'!N47)</f>
        <v>22256</v>
      </c>
      <c r="J10" s="6">
        <f>SUM('Model inputs'!C46,'Model inputs'!D46,'Model inputs'!E46,'Model inputs'!F46,'Model inputs'!G46,'Model inputs'!H46,'Model inputs'!I46,'Model inputs'!J46,'Model inputs'!K46,'Model inputs'!L46,'Model inputs'!M46,'Model inputs'!N46)</f>
        <v>21056</v>
      </c>
    </row>
  </sheetData>
  <mergeCells count="1">
    <mergeCell ref="A1:J1"/>
  </mergeCells>
</worksheet>
</file>

<file path=xl/worksheets/sheet9.xml><?xml version="1.0" encoding="utf-8"?>
<worksheet xmlns="http://schemas.openxmlformats.org/spreadsheetml/2006/main">
  <dimension ref="A1:D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DisruptRadar — Projeção mensal · Limiares de procura — indiferença e breakeven</t>
        </is>
      </c>
    </row>
    <row r="2" ht="20" customHeight="1">
      <c r="A2" t="inlineStr" s="2">
        <is>
          <t xml:space="preserve">Financial model (2 pages)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Teste Pro 109 € — fixos 500 €/mês</t>
        </is>
      </c>
      <c r="D4" t="inlineStr" s="4">
        <is>
          <t xml:space="preserve">Value &gt; Teste Pro 119 € — fixos 500 €/mês</t>
        </is>
      </c>
    </row>
    <row r="5">
      <c r="A5" t="inlineStr" s="5">
        <is>
          <t xml:space="preserve">Preço de referência para indiferença (EUR)</t>
        </is>
      </c>
      <c r="B5" s="23">
        <f>99</f>
        <v>99</v>
      </c>
      <c r="C5" s="23">
        <f>99</f>
        <v>99</v>
      </c>
      <c r="D5" s="23">
        <f>99</f>
        <v>99</v>
      </c>
    </row>
    <row r="6">
      <c r="A6" t="inlineStr" s="7">
        <is>
          <t xml:space="preserve">Fixos mensais de referência para limiares (EUR)</t>
        </is>
      </c>
      <c r="B6" s="10">
        <f>500</f>
        <v>500</v>
      </c>
      <c r="C6" s="10">
        <f>500</f>
        <v>500</v>
      </c>
      <c r="D6" s="10">
        <f>500</f>
        <v>500</v>
      </c>
    </row>
    <row r="7">
      <c r="A7" t="inlineStr" s="7">
        <is>
          <t xml:space="preserve">Preço mensal Pro (EUR)</t>
        </is>
      </c>
      <c r="B7" s="9">
        <f>99</f>
        <v>99</v>
      </c>
      <c r="C7" s="9">
        <f>'DisruptRadar — Projeção men (5)'!G5</f>
        <v>109</v>
      </c>
      <c r="D7" s="9">
        <f>'DisruptRadar — Projeção men (5)'!J5</f>
        <v>119</v>
      </c>
    </row>
    <row r="8">
      <c r="A8" t="inlineStr" s="7">
        <is>
          <t xml:space="preserve">Entrega por cliente-mês — limiares (EUR)</t>
        </is>
      </c>
      <c r="B8" s="10">
        <f>'DisruptRadar Business Plan · Pr'!B14*'DisruptRadar Business Plan · Pr'!B11</f>
        <v>30</v>
      </c>
      <c r="C8" s="10">
        <f>'Model inputs'!Z37*'Model inputs'!Z27</f>
        <v>30</v>
      </c>
      <c r="D8" s="10">
        <f>'Model inputs'!Z40*'Model inputs'!Z30</f>
        <v>30</v>
      </c>
    </row>
    <row r="9">
      <c r="A9" t="inlineStr" s="7">
        <is>
          <t xml:space="preserve">Margem por cliente-mês no preço de referência (EUR)</t>
        </is>
      </c>
      <c r="B9" s="10">
        <f>'DisruptRadar — Projeção men (6)'!B5-'DisruptRadar — Projeção men (6)'!B8</f>
        <v>69</v>
      </c>
      <c r="C9" s="10">
        <f>'DisruptRadar — Projeção men (6)'!C5-'DisruptRadar — Projeção men (6)'!C8</f>
        <v>69</v>
      </c>
      <c r="D9" s="10">
        <f>'DisruptRadar — Projeção men (6)'!D5-'DisruptRadar — Projeção men (6)'!D8</f>
        <v>69</v>
      </c>
    </row>
    <row r="10">
      <c r="A10" t="inlineStr" s="7">
        <is>
          <t xml:space="preserve">Margem por cliente-mês no preço testado (EUR)</t>
        </is>
      </c>
      <c r="B10" s="10">
        <f>'DisruptRadar — Projeção men (6)'!B7-'DisruptRadar — Projeção men (6)'!B8</f>
        <v>69</v>
      </c>
      <c r="C10" s="10">
        <f>'DisruptRadar — Projeção men (6)'!C7-'DisruptRadar — Projeção men (6)'!C8</f>
        <v>79</v>
      </c>
      <c r="D10" s="10">
        <f>'DisruptRadar — Projeção men (6)'!D7-'DisruptRadar — Projeção men (6)'!D8</f>
        <v>89</v>
      </c>
    </row>
    <row r="11">
      <c r="A11" t="inlineStr" s="7">
        <is>
          <t xml:space="preserve">Clientes-mês de referência para limiares</t>
        </is>
      </c>
      <c r="B11" s="24">
        <f>IF('DisruptRadar — Projeção men (3)'!B5="","",'DisruptRadar — Projeção men (3)'!B5)</f>
        <v>304</v>
      </c>
      <c r="C11" s="24">
        <f>IF('DisruptRadar — Projeção men (5)'!G7="","",'DisruptRadar — Projeção men (5)'!G7)</f>
        <v>304</v>
      </c>
      <c r="D11" s="24">
        <f>IF('DisruptRadar — Projeção men (5)'!J7="","",'DisruptRadar — Projeção men (5)'!J7)</f>
        <v>304</v>
      </c>
    </row>
    <row r="12">
      <c r="A12" t="inlineStr" s="7">
        <is>
          <t xml:space="preserve">EBITDA de referência dos limiares (EUR)</t>
        </is>
      </c>
      <c r="B12" s="10">
        <f>'DisruptRadar — Projeção men (6)'!B11*'DisruptRadar — Projeção men (6)'!B9-'DisruptRadar — Projeção men (6)'!B6*12</f>
        <v>14976</v>
      </c>
      <c r="C12" s="10">
        <f>'DisruptRadar — Projeção men (6)'!C11*'DisruptRadar — Projeção men (6)'!C9-'DisruptRadar — Projeção men (6)'!C6*12</f>
        <v>14976</v>
      </c>
      <c r="D12" s="10">
        <f>'DisruptRadar — Projeção men (6)'!D11*'DisruptRadar — Projeção men (6)'!D9-'DisruptRadar — Projeção men (6)'!D6*12</f>
        <v>14976</v>
      </c>
    </row>
    <row r="13">
      <c r="A13" t="inlineStr" s="7">
        <is>
          <t xml:space="preserve">Clientes-mês mínimos para EBITDA de referência</t>
        </is>
      </c>
      <c r="B13" s="24">
        <f>IF(IF(IF(ISERROR('DisruptRadar — Projeção men (6)'!B10&gt;0),'DisruptRadar — Projeção men (6)'!B10&gt;0,IF('DisruptRadar — Projeção men (6)'!B10="","",'DisruptRadar — Projeção men (6)'!B10&gt;0))="",FALSE,IF(ISERROR('DisruptRadar — Projeção men (6)'!B10&gt;0),'DisruptRadar — Projeção men (6)'!B10&gt;0,IF('DisruptRadar — Projeção men (6)'!B10="","",'DisruptRadar — Projeção men (6)'!B10&gt;0))),'DisruptRadar — Projeção men (6)'!B11*'DisruptRadar — Projeção men (6)'!B9/'DisruptRadar — Projeção men (6)'!B10,"")</f>
        <v>304</v>
      </c>
      <c r="C13" s="24">
        <f>IF(IF(IF(ISERROR('DisruptRadar — Projeção men (6)'!C10&gt;0),'DisruptRadar — Projeção men (6)'!C10&gt;0,IF('DisruptRadar — Projeção men (6)'!C10="","",'DisruptRadar — Projeção men (6)'!C10&gt;0))="",FALSE,IF(ISERROR('DisruptRadar — Projeção men (6)'!C10&gt;0),'DisruptRadar — Projeção men (6)'!C10&gt;0,IF('DisruptRadar — Projeção men (6)'!C10="","",'DisruptRadar — Projeção men (6)'!C10&gt;0))),'DisruptRadar — Projeção men (6)'!C11*'DisruptRadar — Projeção men (6)'!C9/'DisruptRadar — Projeção men (6)'!C10,"")</f>
        <v>265.5189873417722</v>
      </c>
      <c r="D13" s="24">
        <f>IF(IF(IF(ISERROR('DisruptRadar — Projeção men (6)'!D10&gt;0),'DisruptRadar — Projeção men (6)'!D10&gt;0,IF('DisruptRadar — Projeção men (6)'!D10="","",'DisruptRadar — Projeção men (6)'!D10&gt;0))="",FALSE,IF(ISERROR('DisruptRadar — Projeção men (6)'!D10&gt;0),'DisruptRadar — Projeção men (6)'!D10&gt;0,IF('DisruptRadar — Projeção men (6)'!D10="","",'DisruptRadar — Projeção men (6)'!D10&gt;0))),'DisruptRadar — Projeção men (6)'!D11*'DisruptRadar — Projeção men (6)'!D9/'DisruptRadar — Projeção men (6)'!D10,"")</f>
        <v>235.68539325842696</v>
      </c>
    </row>
    <row r="14">
      <c r="A14" t="inlineStr" s="7">
        <is>
          <t xml:space="preserve">Clientes-mês inteiros para EBITDA de referência</t>
        </is>
      </c>
      <c r="B14" s="12">
        <f>IF('DisruptRadar — Projeção men (6)'!B13="","",CEILING('DisruptRadar — Projeção men (6)'!B13,1))</f>
        <v>304</v>
      </c>
      <c r="C14" s="12">
        <f>IF('DisruptRadar — Projeção men (6)'!C13="","",CEILING('DisruptRadar — Projeção men (6)'!C13,1))</f>
        <v>266</v>
      </c>
      <c r="D14" s="12">
        <f>IF('DisruptRadar — Projeção men (6)'!D13="","",CEILING('DisruptRadar — Projeção men (6)'!D13,1))</f>
        <v>236</v>
      </c>
    </row>
    <row r="15">
      <c r="A15" t="inlineStr" s="7">
        <is>
          <t xml:space="preserve">Perda máxima de procura vs referência</t>
        </is>
      </c>
      <c r="B15" s="25">
        <f>IFERROR(1-'DisruptRadar — Projeção men (6)'!B13/'DisruptRadar — Projeção men (6)'!B11,"")</f>
        <v>0</v>
      </c>
      <c r="C15" s="25">
        <f>IFERROR(1-'DisruptRadar — Projeção men (6)'!C13/'DisruptRadar — Projeção men (6)'!C11,"")</f>
        <v>0.12658227848101256</v>
      </c>
      <c r="D15" s="25">
        <f>IFERROR(1-'DisruptRadar — Projeção men (6)'!D13/'DisruptRadar — Projeção men (6)'!D11,"")</f>
        <v>0.2247191011235955</v>
      </c>
    </row>
    <row r="16">
      <c r="A16" t="inlineStr" s="7">
        <is>
          <t xml:space="preserve">Clientes-mês de breakeven absoluto</t>
        </is>
      </c>
      <c r="B16" s="24">
        <f>IF(IF(IF(ISERROR('DisruptRadar — Projeção men (6)'!B10&gt;0),'DisruptRadar — Projeção men (6)'!B10&gt;0,IF('DisruptRadar — Projeção men (6)'!B10="","",'DisruptRadar — Projeção men (6)'!B10&gt;0))="",FALSE,IF(ISERROR('DisruptRadar — Projeção men (6)'!B10&gt;0),'DisruptRadar — Projeção men (6)'!B10&gt;0,IF('DisruptRadar — Projeção men (6)'!B10="","",'DisruptRadar — Projeção men (6)'!B10&gt;0))),'DisruptRadar — Projeção men (6)'!B6*12/'DisruptRadar — Projeção men (6)'!B10,"")</f>
        <v>86.95652173913044</v>
      </c>
      <c r="C16" s="24">
        <f>IF(IF(IF(ISERROR('DisruptRadar — Projeção men (6)'!C10&gt;0),'DisruptRadar — Projeção men (6)'!C10&gt;0,IF('DisruptRadar — Projeção men (6)'!C10="","",'DisruptRadar — Projeção men (6)'!C10&gt;0))="",FALSE,IF(ISERROR('DisruptRadar — Projeção men (6)'!C10&gt;0),'DisruptRadar — Projeção men (6)'!C10&gt;0,IF('DisruptRadar — Projeção men (6)'!C10="","",'DisruptRadar — Projeção men (6)'!C10&gt;0))),'DisruptRadar — Projeção men (6)'!C6*12/'DisruptRadar — Projeção men (6)'!C10,"")</f>
        <v>75.9493670886076</v>
      </c>
      <c r="D16" s="24">
        <f>IF(IF(IF(ISERROR('DisruptRadar — Projeção men (6)'!D10&gt;0),'DisruptRadar — Projeção men (6)'!D10&gt;0,IF('DisruptRadar — Projeção men (6)'!D10="","",'DisruptRadar — Projeção men (6)'!D10&gt;0))="",FALSE,IF(ISERROR('DisruptRadar — Projeção men (6)'!D10&gt;0),'DisruptRadar — Projeção men (6)'!D10&gt;0,IF('DisruptRadar — Projeção men (6)'!D10="","",'DisruptRadar — Projeção men (6)'!D10&gt;0))),'DisruptRadar — Projeção men (6)'!D6*12/'DisruptRadar — Projeção men (6)'!D10,"")</f>
        <v>67.41573033707866</v>
      </c>
    </row>
    <row r="17">
      <c r="A17" t="inlineStr" s="7">
        <is>
          <t xml:space="preserve">Clientes-mês inteiros de breakeven absoluto</t>
        </is>
      </c>
      <c r="B17" s="12">
        <f>IF('DisruptRadar — Projeção men (6)'!B16="","",CEILING('DisruptRadar — Projeção men (6)'!B16,1))</f>
        <v>87</v>
      </c>
      <c r="C17" s="12">
        <f>IF('DisruptRadar — Projeção men (6)'!C16="","",CEILING('DisruptRadar — Projeção men (6)'!C16,1))</f>
        <v>76</v>
      </c>
      <c r="D17" s="12">
        <f>IF('DisruptRadar — Projeção men (6)'!D16="","",CEILING('DisruptRadar — Projeção men (6)'!D16,1))</f>
        <v>68</v>
      </c>
    </row>
    <row r="18">
      <c r="A18" t="inlineStr" s="7">
        <is>
          <t xml:space="preserve">Breakeven como proporção da procura de referência</t>
        </is>
      </c>
      <c r="B18" s="25">
        <f>IFERROR('DisruptRadar — Projeção men (6)'!B16/'DisruptRadar — Projeção men (6)'!B11,"")</f>
        <v>0.28604118993135014</v>
      </c>
      <c r="C18" s="25">
        <f>IFERROR('DisruptRadar — Projeção men (6)'!C16/'DisruptRadar — Projeção men (6)'!C11,"")</f>
        <v>0.24983344437041974</v>
      </c>
      <c r="D18" s="25">
        <f>IFERROR('DisruptRadar — Projeção men (6)'!D16/'DisruptRadar — Projeção men (6)'!D11,"")</f>
        <v>0.22176227084565348</v>
      </c>
    </row>
    <row r="19">
      <c r="A19" t="inlineStr" s="5">
        <is>
          <t xml:space="preserve">Verificação do EBITDA no ponto de indiferença (EUR)</t>
        </is>
      </c>
      <c r="B19" s="23">
        <f>IF('DisruptRadar — Projeção men (6)'!B13="","",'DisruptRadar — Projeção men (6)'!B13*'DisruptRadar — Projeção men (6)'!B10-'DisruptRadar — Projeção men (6)'!B6*12-'DisruptRadar — Projeção men (6)'!B12)</f>
        <v>0</v>
      </c>
      <c r="C19" s="23">
        <f>IF('DisruptRadar — Projeção men (6)'!C13="","",'DisruptRadar — Projeção men (6)'!C13*'DisruptRadar — Projeção men (6)'!C10-'DisruptRadar — Projeção men (6)'!C6*12-'DisruptRadar — Projeção men (6)'!C12)</f>
        <v>0</v>
      </c>
      <c r="D19" s="23">
        <f>IF('DisruptRadar — Projeção men (6)'!D13="","",'DisruptRadar — Projeção men (6)'!D13*'DisruptRadar — Projeção men (6)'!D10-'DisruptRadar — Projeção men (6)'!D6*12-'DisruptRadar — Projeção men (6)'!D12)</f>
        <v>0</v>
      </c>
    </row>
  </sheetData>
  <mergeCells count="1">
    <mergeCell ref="A1:D1"/>
  </mergeCells>
</worksheet>
</file>

<file path=xl/worksheets/sheet10.xml><?xml version="1.0" encoding="utf-8"?>
<worksheet xmlns="http://schemas.openxmlformats.org/spreadsheetml/2006/main">
  <dimension ref="A1:B1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DisruptRadar — Projeção mensal · Teste de perda de procura — cálculo anual</t>
        </is>
      </c>
    </row>
    <row r="2" ht="20" customHeight="1">
      <c r="A2" t="inlineStr" s="2">
        <is>
          <t xml:space="preserve">Financial model (2 pages)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Perda de procura em teste</t>
        </is>
      </c>
      <c r="B5" s="26">
        <f>0</f>
        <v>0</v>
      </c>
    </row>
    <row r="6">
      <c r="A6" t="inlineStr" s="7">
        <is>
          <t xml:space="preserve">Preço mensal Pro (EUR)</t>
        </is>
      </c>
      <c r="B6" s="9">
        <f>99</f>
        <v>99</v>
      </c>
    </row>
    <row r="7">
      <c r="A7" t="inlineStr" s="7">
        <is>
          <t xml:space="preserve">Fixos anuais da projeção Base (EUR)</t>
        </is>
      </c>
      <c r="B7" s="9">
        <f>'DisruptRadar — Projeção mensal'!B5</f>
        <v>6000</v>
      </c>
    </row>
    <row r="8">
      <c r="A8" t="inlineStr" s="7">
        <is>
          <t xml:space="preserve">Clientes-mês após perda de procura</t>
        </is>
      </c>
      <c r="B8" s="24">
        <f>'DisruptRadar — Projeção men (3)'!B5*(1-'DisruptRadar — Projeção men (7)'!B5)</f>
        <v>304</v>
      </c>
    </row>
    <row r="9">
      <c r="A9" t="inlineStr" s="7">
        <is>
          <t xml:space="preserve">Receita anual após perda de procura (EUR)</t>
        </is>
      </c>
      <c r="B9" s="10">
        <f>'DisruptRadar — Projeção men (7)'!B8*'DisruptRadar — Projeção men (7)'!B6</f>
        <v>30096</v>
      </c>
    </row>
    <row r="10">
      <c r="A10" t="inlineStr" s="7">
        <is>
          <t xml:space="preserve">Entrega anual após perda de procura (EUR)</t>
        </is>
      </c>
      <c r="B10" s="10">
        <f>'DisruptRadar — Projeção men (7)'!B8*'DisruptRadar Business Plan · Pr'!B14*'DisruptRadar Business Plan · Pr'!B11</f>
        <v>9120</v>
      </c>
    </row>
    <row r="11">
      <c r="A11" t="inlineStr" s="7">
        <is>
          <t xml:space="preserve">EBITDA anual após perda de procura (EUR)</t>
        </is>
      </c>
      <c r="B11" s="10">
        <f>'DisruptRadar — Projeção men (7)'!B9-'DisruptRadar — Projeção men (7)'!B10-'DisruptRadar — Projeção men (7)'!B7</f>
        <v>14976</v>
      </c>
    </row>
    <row r="12">
      <c r="A12" t="inlineStr" s="7">
        <is>
          <t xml:space="preserve">Caixa final anual após perda de procura (EUR)</t>
        </is>
      </c>
      <c r="B12" s="10">
        <f>'DisruptRadar Business Plan · Pr'!B7+'DisruptRadar — Projeção men (7)'!B11</f>
        <v>34976</v>
      </c>
    </row>
    <row r="13">
      <c r="A13" t="inlineStr" s="5">
        <is>
          <t xml:space="preserve">Diferença de EBITDA após perda vs referência (EUR)</t>
        </is>
      </c>
      <c r="B13" s="23">
        <f>'DisruptRadar — Projeção men (7)'!B11-'DisruptRadar — Projeção men (6)'!B12</f>
        <v>0</v>
      </c>
    </row>
  </sheetData>
  <mergeCells count="1">
    <mergeCell ref="A1:B1"/>
  </mergeCells>
</worksheet>
</file>

<file path=xl/worksheets/sheet11.xml><?xml version="1.0" encoding="utf-8"?>
<worksheet xmlns="http://schemas.openxmlformats.org/spreadsheetml/2006/main">
  <dimension ref="A1:AA127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27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2026-12</t>
        </is>
      </c>
      <c r="C5" t="inlineStr" s="18">
        <is>
          <t xml:space="preserve">2027-01</t>
        </is>
      </c>
      <c r="D5" t="inlineStr" s="4">
        <is>
          <t xml:space="preserve">2027-02</t>
        </is>
      </c>
      <c r="E5" t="inlineStr" s="4">
        <is>
          <t xml:space="preserve">2027-03</t>
        </is>
      </c>
      <c r="F5" t="inlineStr" s="18">
        <is>
          <t xml:space="preserve">2027-04</t>
        </is>
      </c>
      <c r="G5" t="inlineStr" s="4">
        <is>
          <t xml:space="preserve">2027-05</t>
        </is>
      </c>
      <c r="H5" t="inlineStr" s="4">
        <is>
          <t xml:space="preserve">2027-06</t>
        </is>
      </c>
      <c r="I5" t="inlineStr" s="18">
        <is>
          <t xml:space="preserve">2027-07</t>
        </is>
      </c>
      <c r="J5" t="inlineStr" s="4">
        <is>
          <t xml:space="preserve">2027-08</t>
        </is>
      </c>
      <c r="K5" t="inlineStr" s="4">
        <is>
          <t xml:space="preserve">2027-09</t>
        </is>
      </c>
      <c r="L5" t="inlineStr" s="18">
        <is>
          <t xml:space="preserve">2027-10</t>
        </is>
      </c>
      <c r="M5" t="inlineStr" s="4">
        <is>
          <t xml:space="preserve">2027-11</t>
        </is>
      </c>
      <c r="N5" t="inlineStr" s="4">
        <is>
          <t xml:space="preserve">2027-12</t>
        </is>
      </c>
      <c r="O5" t="inlineStr" s="18">
        <is>
          <t xml:space="preserve">2026-01</t>
        </is>
      </c>
      <c r="P5" t="inlineStr" s="4">
        <is>
          <t xml:space="preserve">2026-02</t>
        </is>
      </c>
      <c r="Q5" t="inlineStr" s="4">
        <is>
          <t xml:space="preserve">2026-03</t>
        </is>
      </c>
      <c r="R5" t="inlineStr" s="18">
        <is>
          <t xml:space="preserve">2026-04</t>
        </is>
      </c>
      <c r="S5" t="inlineStr" s="4">
        <is>
          <t xml:space="preserve">2026-05</t>
        </is>
      </c>
      <c r="T5" t="inlineStr" s="4">
        <is>
          <t xml:space="preserve">2026-06</t>
        </is>
      </c>
      <c r="U5" t="inlineStr" s="18">
        <is>
          <t xml:space="preserve">2026-07</t>
        </is>
      </c>
      <c r="V5" t="inlineStr" s="4">
        <is>
          <t xml:space="preserve">2026-08</t>
        </is>
      </c>
      <c r="W5" t="inlineStr" s="4">
        <is>
          <t xml:space="preserve">2026-09</t>
        </is>
      </c>
      <c r="X5" t="inlineStr" s="18">
        <is>
          <t xml:space="preserve">2026-10</t>
        </is>
      </c>
      <c r="Y5" t="inlineStr" s="4">
        <is>
          <t xml:space="preserve">2026-11</t>
        </is>
      </c>
      <c r="Z5" t="inlineStr" s="4">
        <is>
          <t xml:space="preserve">Value</t>
        </is>
      </c>
      <c r="AA5" t="inlineStr" s="4">
        <is>
          <t xml:space="preserve">Value</t>
        </is>
      </c>
    </row>
    <row r="6">
      <c r="A6" t="inlineStr" s="28">
        <is>
          <t xml:space="preserve">Caixa final — projeção Base (EUR) · DisruptRadar — Projeção mensal · Projeção mensal Base — clientes, resultado e caixa · Base</t>
        </is>
      </c>
      <c r="B6" s="20">
        <f>'Model inputs'!B15+'Model inputs'!B41</f>
        <v>-1500</v>
      </c>
      <c r="C6" s="20">
        <f>'Model inputs'!C15+'Model inputs'!C41</f>
        <v>19569</v>
      </c>
      <c r="D6" s="20">
        <f>'Model inputs'!D15+'Model inputs'!D41</f>
        <v>19345</v>
      </c>
      <c r="E6" s="20">
        <f>'Model inputs'!E15+'Model inputs'!E41</f>
        <v>19466</v>
      </c>
      <c r="F6" s="20">
        <f>'Model inputs'!F15+'Model inputs'!F41</f>
        <v>19932</v>
      </c>
      <c r="G6" s="20">
        <f>'Model inputs'!G15+'Model inputs'!G41</f>
        <v>20812</v>
      </c>
      <c r="H6" s="20">
        <f>'Model inputs'!H15+'Model inputs'!H41</f>
        <v>22106</v>
      </c>
      <c r="I6" s="20">
        <f>'Model inputs'!I15+'Model inputs'!I41</f>
        <v>23814</v>
      </c>
      <c r="J6" s="20">
        <f>'Model inputs'!J15+'Model inputs'!J41</f>
        <v>25936</v>
      </c>
      <c r="K6" s="20">
        <f>'Model inputs'!K15+'Model inputs'!K41</f>
        <v>28196</v>
      </c>
      <c r="L6" s="20">
        <f>'Model inputs'!L15+'Model inputs'!L41</f>
        <v>30456</v>
      </c>
      <c r="M6" s="20">
        <f>'Model inputs'!M15+'Model inputs'!M41</f>
        <v>32716</v>
      </c>
      <c r="N6" s="20">
        <f>'Model inputs'!N15+'Model inputs'!N41</f>
        <v>34976</v>
      </c>
    </row>
    <row r="7">
      <c r="A7" t="inlineStr" s="28">
        <is>
          <t xml:space="preserve">Caixa final — projeção Base (EUR) · DisruptRadar — Projeção mensal · Reconciliação anual Base com a matriz · Base</t>
        </is>
      </c>
      <c r="B7" s="20">
        <f>IF('Model inputs'!B6="","",'Model inputs'!B6)</f>
        <v>-1500</v>
      </c>
      <c r="C7" s="20">
        <f>IF('Model inputs'!C6="","",'Model inputs'!C6)</f>
        <v>19569</v>
      </c>
      <c r="D7" s="20">
        <f>IF('Model inputs'!D6="","",'Model inputs'!D6)</f>
        <v>19345</v>
      </c>
      <c r="E7" s="20">
        <f>IF('Model inputs'!E6="","",'Model inputs'!E6)</f>
        <v>19466</v>
      </c>
      <c r="F7" s="20">
        <f>IF('Model inputs'!F6="","",'Model inputs'!F6)</f>
        <v>19932</v>
      </c>
      <c r="G7" s="20">
        <f>IF('Model inputs'!G6="","",'Model inputs'!G6)</f>
        <v>20812</v>
      </c>
      <c r="H7" s="20">
        <f>IF('Model inputs'!H6="","",'Model inputs'!H6)</f>
        <v>22106</v>
      </c>
      <c r="I7" s="20">
        <f>IF('Model inputs'!I6="","",'Model inputs'!I6)</f>
        <v>23814</v>
      </c>
      <c r="J7" s="20">
        <f>IF('Model inputs'!J6="","",'Model inputs'!J6)</f>
        <v>25936</v>
      </c>
      <c r="K7" s="20">
        <f>IF('Model inputs'!K6="","",'Model inputs'!K6)</f>
        <v>28196</v>
      </c>
      <c r="L7" s="20">
        <f>IF('Model inputs'!L6="","",'Model inputs'!L6)</f>
        <v>30456</v>
      </c>
      <c r="M7" s="20">
        <f>IF('Model inputs'!M6="","",'Model inputs'!M6)</f>
        <v>32716</v>
      </c>
      <c r="N7" s="20">
        <f>IF('Model inputs'!N6="","",'Model inputs'!N6)</f>
        <v>34976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f>'Model inputs'!X15+'Model inputs'!X41</f>
        <v>-500</v>
      </c>
      <c r="Y7" s="20">
        <f>'Model inputs'!Y15+'Model inputs'!Y41</f>
        <v>-1000</v>
      </c>
    </row>
    <row r="8">
      <c r="A8" t="inlineStr" s="28">
        <is>
          <t xml:space="preserve">Caixa final — projeção Base (EUR) · Base — fixos 400 €/mês</t>
        </is>
      </c>
      <c r="B8" s="20">
        <f>'Model inputs'!B77+'Model inputs'!B43</f>
        <v>-1200</v>
      </c>
      <c r="C8" s="20">
        <f>'Model inputs'!C77+'Model inputs'!C43</f>
        <v>19669</v>
      </c>
      <c r="D8" s="20">
        <f>'Model inputs'!D77+'Model inputs'!D43</f>
        <v>19545</v>
      </c>
      <c r="E8" s="20">
        <f>'Model inputs'!E77+'Model inputs'!E43</f>
        <v>19766</v>
      </c>
      <c r="F8" s="20">
        <f>'Model inputs'!F77+'Model inputs'!F43</f>
        <v>20332</v>
      </c>
      <c r="G8" s="20">
        <f>'Model inputs'!G77+'Model inputs'!G43</f>
        <v>21312</v>
      </c>
      <c r="H8" s="20">
        <f>'Model inputs'!H77+'Model inputs'!H43</f>
        <v>22706</v>
      </c>
      <c r="I8" s="20">
        <f>'Model inputs'!I77+'Model inputs'!I43</f>
        <v>24514</v>
      </c>
      <c r="J8" s="20">
        <f>'Model inputs'!J77+'Model inputs'!J43</f>
        <v>26736</v>
      </c>
      <c r="K8" s="20">
        <f>'Model inputs'!K77+'Model inputs'!K43</f>
        <v>29096</v>
      </c>
      <c r="L8" s="20">
        <f>'Model inputs'!L77+'Model inputs'!L43</f>
        <v>31456</v>
      </c>
      <c r="M8" s="20">
        <f>'Model inputs'!M77+'Model inputs'!M43</f>
        <v>33816</v>
      </c>
      <c r="N8" s="20">
        <f>'Model inputs'!N77+'Model inputs'!N43</f>
        <v>36176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f>'Model inputs'!X77+'Model inputs'!X43</f>
        <v>-400</v>
      </c>
      <c r="Y8" s="20">
        <f>'Model inputs'!Y77+'Model inputs'!Y43</f>
        <v>-800</v>
      </c>
    </row>
    <row r="9">
      <c r="A9" t="inlineStr" s="28">
        <is>
          <t xml:space="preserve">Caixa final — projeção Base (EUR) · Base — fixos 300 €/mês</t>
        </is>
      </c>
      <c r="B9" s="20">
        <f>'Model inputs'!B78+'Model inputs'!B45</f>
        <v>-900</v>
      </c>
      <c r="C9" s="20">
        <f>'Model inputs'!C78+'Model inputs'!C45</f>
        <v>19769</v>
      </c>
      <c r="D9" s="20">
        <f>'Model inputs'!D78+'Model inputs'!D45</f>
        <v>19745</v>
      </c>
      <c r="E9" s="20">
        <f>'Model inputs'!E78+'Model inputs'!E45</f>
        <v>20066</v>
      </c>
      <c r="F9" s="20">
        <f>'Model inputs'!F78+'Model inputs'!F45</f>
        <v>20732</v>
      </c>
      <c r="G9" s="20">
        <f>'Model inputs'!G78+'Model inputs'!G45</f>
        <v>21812</v>
      </c>
      <c r="H9" s="20">
        <f>'Model inputs'!H78+'Model inputs'!H45</f>
        <v>23306</v>
      </c>
      <c r="I9" s="20">
        <f>'Model inputs'!I78+'Model inputs'!I45</f>
        <v>25214</v>
      </c>
      <c r="J9" s="20">
        <f>'Model inputs'!J78+'Model inputs'!J45</f>
        <v>27536</v>
      </c>
      <c r="K9" s="20">
        <f>'Model inputs'!K78+'Model inputs'!K45</f>
        <v>29996</v>
      </c>
      <c r="L9" s="20">
        <f>'Model inputs'!L78+'Model inputs'!L45</f>
        <v>32456</v>
      </c>
      <c r="M9" s="20">
        <f>'Model inputs'!M78+'Model inputs'!M45</f>
        <v>34916</v>
      </c>
      <c r="N9" s="20">
        <f>'Model inputs'!N78+'Model inputs'!N45</f>
        <v>37376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f>'Model inputs'!X78+'Model inputs'!X45</f>
        <v>-300</v>
      </c>
      <c r="Y9" s="20">
        <f>'Model inputs'!Y78+'Model inputs'!Y45</f>
        <v>-600</v>
      </c>
    </row>
    <row r="10">
      <c r="A10" t="inlineStr" s="28">
        <is>
          <t xml:space="preserve">Caixa final — projeção Base (EUR) · Base — fixos 500 €/mês</t>
        </is>
      </c>
      <c r="B10" s="20">
        <f>'Model inputs'!B79+'Model inputs'!B48</f>
        <v>-1500</v>
      </c>
      <c r="C10" s="20">
        <f>'Model inputs'!C79+'Model inputs'!C48</f>
        <v>19569</v>
      </c>
      <c r="D10" s="20">
        <f>'Model inputs'!D79+'Model inputs'!D48</f>
        <v>19345</v>
      </c>
      <c r="E10" s="20">
        <f>'Model inputs'!E79+'Model inputs'!E48</f>
        <v>19466</v>
      </c>
      <c r="F10" s="20">
        <f>'Model inputs'!F79+'Model inputs'!F48</f>
        <v>19932</v>
      </c>
      <c r="G10" s="20">
        <f>'Model inputs'!G79+'Model inputs'!G48</f>
        <v>20812</v>
      </c>
      <c r="H10" s="20">
        <f>'Model inputs'!H79+'Model inputs'!H48</f>
        <v>22106</v>
      </c>
      <c r="I10" s="20">
        <f>'Model inputs'!I79+'Model inputs'!I48</f>
        <v>23814</v>
      </c>
      <c r="J10" s="20">
        <f>'Model inputs'!J79+'Model inputs'!J48</f>
        <v>25936</v>
      </c>
      <c r="K10" s="20">
        <f>'Model inputs'!K79+'Model inputs'!K48</f>
        <v>28196</v>
      </c>
      <c r="L10" s="20">
        <f>'Model inputs'!L79+'Model inputs'!L48</f>
        <v>30456</v>
      </c>
      <c r="M10" s="20">
        <f>'Model inputs'!M79+'Model inputs'!M48</f>
        <v>32716</v>
      </c>
      <c r="N10" s="20">
        <f>'Model inputs'!N79+'Model inputs'!N48</f>
        <v>34976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f>'Model inputs'!X79+'Model inputs'!X48</f>
        <v>-500</v>
      </c>
      <c r="Y10" s="20">
        <f>'Model inputs'!Y79+'Model inputs'!Y48</f>
        <v>-1000</v>
      </c>
    </row>
    <row r="11">
      <c r="A11" t="inlineStr" s="28">
        <is>
          <t xml:space="preserve">Caixa inicial (EUR) · DisruptRadar Business Plan · Matriz de cenários DisruptRadar · Base</t>
        </is>
      </c>
      <c r="Z11" s="9">
        <f>20000</f>
        <v>20000</v>
      </c>
    </row>
    <row r="12">
      <c r="A12" t="inlineStr" s="28">
        <is>
          <t xml:space="preserve">Caixa inicial (EUR) · DisruptRadar — Projeção mensal · Projeção mensal Base — clientes, resultado e caixa · Base</t>
        </is>
      </c>
      <c r="AA12" s="9">
        <f>20000</f>
        <v>20000</v>
      </c>
    </row>
    <row r="13">
      <c r="A13" t="inlineStr" s="28">
        <is>
          <t xml:space="preserve">Caixa inicial (EUR) · Pessimista</t>
        </is>
      </c>
      <c r="Z13" s="9">
        <f>20000</f>
        <v>20000</v>
      </c>
    </row>
    <row r="14">
      <c r="A14" t="inlineStr" s="28">
        <is>
          <t xml:space="preserve">Caixa inicial (EUR) · Otimista</t>
        </is>
      </c>
      <c r="Z14" s="9">
        <f>20000</f>
        <v>20000</v>
      </c>
    </row>
    <row r="15">
      <c r="A15" t="inlineStr" s="28">
        <is>
          <t xml:space="preserve">Caixa inicial do mês — projeção Base (EUR) · DisruptRadar — Projeção mensal · Projeção mensal Base — clientes, resultado e caixa</t>
        </is>
      </c>
      <c r="B15" s="20">
        <f>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inputs'!AA63),1)))),IF('Model inputs'!Z11="","",'Model inputs'!Z11),IF('Model inputs'!Y7="","",'Model inputs'!Y7))</f>
        <v>-1000</v>
      </c>
      <c r="C15" s="20">
        <f>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inputs'!AA63),1)))),IF('Model inputs'!Z11="","",'Model inputs'!Z11),IF('Model inputs'!B6="","",'Model inputs'!B6))</f>
        <v>20000</v>
      </c>
      <c r="D15" s="20">
        <f>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inputs'!AA63),1)))),IF('Model inputs'!Z11="","",'Model inputs'!Z11),IF('Model inputs'!C6="","",'Model inputs'!C6))</f>
        <v>19569</v>
      </c>
      <c r="E15" s="20">
        <f>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inputs'!AA63),1)))),IF('Model inputs'!Z11="","",'Model inputs'!Z11),IF('Model inputs'!D6="","",'Model inputs'!D6))</f>
        <v>19345</v>
      </c>
      <c r="F15" s="20">
        <f>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inputs'!AA63),1)))),IF('Model inputs'!Z11="","",'Model inputs'!Z11),IF('Model inputs'!E6="","",'Model inputs'!E6))</f>
        <v>19466</v>
      </c>
      <c r="G15" s="20">
        <f>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inputs'!AA63),1)))),IF('Model inputs'!Z11="","",'Model inputs'!Z11),IF('Model inputs'!F6="","",'Model inputs'!F6))</f>
        <v>19932</v>
      </c>
      <c r="H15" s="20">
        <f>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inputs'!AA63),1)))),IF('Model inputs'!Z11="","",'Model inputs'!Z11),IF('Model inputs'!G6="","",'Model inputs'!G6))</f>
        <v>20812</v>
      </c>
      <c r="I15" s="20">
        <f>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inputs'!AA63),1)))),IF('Model inputs'!Z11="","",'Model inputs'!Z11),IF('Model inputs'!H6="","",'Model inputs'!H6))</f>
        <v>22106</v>
      </c>
      <c r="J15" s="20">
        <f>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inputs'!AA63),1)))),IF('Model inputs'!Z11="","",'Model inputs'!Z11),IF('Model inputs'!I6="","",'Model inputs'!I6))</f>
        <v>23814</v>
      </c>
      <c r="K15" s="20">
        <f>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inputs'!AA63),1)))),IF('Model inputs'!Z11="","",'Model inputs'!Z11),IF('Model inputs'!J6="","",'Model inputs'!J6))</f>
        <v>25936</v>
      </c>
      <c r="L15" s="20">
        <f>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inputs'!AA63),1)))),IF('Model inputs'!Z11="","",'Model inputs'!Z11),IF('Model inputs'!K6="","",'Model inputs'!K6))</f>
        <v>28196</v>
      </c>
      <c r="M15" s="20">
        <f>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inputs'!AA63),1)))),IF('Model inputs'!Z11="","",'Model inputs'!Z11),IF('Model inputs'!L6="","",'Model inputs'!L6))</f>
        <v>30456</v>
      </c>
      <c r="N15" s="20">
        <f>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inputs'!AA63),1)))),IF('Model inputs'!Z11="","",'Model inputs'!Z11),IF('Model inputs'!M6="","",'Model inputs'!M6))</f>
        <v>32716</v>
      </c>
      <c r="W15" s="20">
        <v>0</v>
      </c>
      <c r="X15" s="20">
        <f>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inputs'!AA63),1)))),IF('Model inputs'!Z11="","",'Model inputs'!Z11),IF('Model inputs'!W7="","",'Model inputs'!W7))</f>
        <v>0</v>
      </c>
      <c r="Y15" s="20">
        <f>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inputs'!AA63),1)))),IF('Model inputs'!Z11="","",'Model inputs'!Z11),IF('Model inputs'!X7="","",'Model inputs'!X7))</f>
        <v>-500</v>
      </c>
    </row>
    <row r="16">
      <c r="A16" t="inlineStr" s="28">
        <is>
          <t xml:space="preserve">Clientes no fim do mês — projeção Base · DisruptRadar — Projeção mensal · Projeção mensal Base — clientes, resultado e caixa · Base</t>
        </is>
      </c>
      <c r="B16" s="9">
        <v>0</v>
      </c>
      <c r="C16" s="9">
        <f>1</f>
        <v>1</v>
      </c>
      <c r="D16" s="9">
        <f>4</f>
        <v>4</v>
      </c>
      <c r="E16" s="9">
        <f>9</f>
        <v>9</v>
      </c>
      <c r="F16" s="9">
        <f>14</f>
        <v>14</v>
      </c>
      <c r="G16" s="9">
        <f>20</f>
        <v>20</v>
      </c>
      <c r="H16" s="9">
        <f>26</f>
        <v>26</v>
      </c>
      <c r="I16" s="9">
        <f>32</f>
        <v>32</v>
      </c>
      <c r="J16" s="9">
        <f>38</f>
        <v>38</v>
      </c>
      <c r="K16" s="9">
        <f>40</f>
        <v>40</v>
      </c>
      <c r="L16" s="9">
        <f>40</f>
        <v>40</v>
      </c>
      <c r="M16" s="9">
        <f>40</f>
        <v>40</v>
      </c>
      <c r="N16" s="9">
        <f>40</f>
        <v>40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</row>
    <row r="17">
      <c r="A17" t="inlineStr" s="28">
        <is>
          <t xml:space="preserve">Clientes no fim do mês — projeção Base · DisruptRadar — Projeção mensal · Sensibilidade completa — preço Pro e fixos · Teste Pro 109 € — fixos 500 €/mês</t>
        </is>
      </c>
      <c r="B17" s="9">
        <v>0</v>
      </c>
      <c r="C17" s="9">
        <f>1</f>
        <v>1</v>
      </c>
      <c r="D17" s="9">
        <f>4</f>
        <v>4</v>
      </c>
      <c r="E17" s="9">
        <f>9</f>
        <v>9</v>
      </c>
      <c r="F17" s="9">
        <f>14</f>
        <v>14</v>
      </c>
      <c r="G17" s="9">
        <f>20</f>
        <v>20</v>
      </c>
      <c r="H17" s="9">
        <f>26</f>
        <v>26</v>
      </c>
      <c r="I17" s="9">
        <f>32</f>
        <v>32</v>
      </c>
      <c r="J17" s="9">
        <f>38</f>
        <v>38</v>
      </c>
      <c r="K17" s="9">
        <f>40</f>
        <v>40</v>
      </c>
      <c r="L17" s="9">
        <f>40</f>
        <v>40</v>
      </c>
      <c r="M17" s="9">
        <f>40</f>
        <v>40</v>
      </c>
      <c r="N17" s="9">
        <f>40</f>
        <v>40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</row>
    <row r="18">
      <c r="A18" t="inlineStr" s="28">
        <is>
          <t xml:space="preserve">Clientes no fim do mês — projeção Base · Base — fixos 400 €/mês</t>
        </is>
      </c>
      <c r="B18" s="9">
        <v>0</v>
      </c>
      <c r="C18" s="9">
        <f>1</f>
        <v>1</v>
      </c>
      <c r="D18" s="9">
        <f>4</f>
        <v>4</v>
      </c>
      <c r="E18" s="9">
        <f>9</f>
        <v>9</v>
      </c>
      <c r="F18" s="9">
        <f>14</f>
        <v>14</v>
      </c>
      <c r="G18" s="9">
        <f>20</f>
        <v>20</v>
      </c>
      <c r="H18" s="9">
        <f>26</f>
        <v>26</v>
      </c>
      <c r="I18" s="9">
        <f>32</f>
        <v>32</v>
      </c>
      <c r="J18" s="9">
        <f>38</f>
        <v>38</v>
      </c>
      <c r="K18" s="9">
        <f>40</f>
        <v>40</v>
      </c>
      <c r="L18" s="9">
        <f>40</f>
        <v>40</v>
      </c>
      <c r="M18" s="9">
        <f>40</f>
        <v>40</v>
      </c>
      <c r="N18" s="9">
        <f>40</f>
        <v>40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</row>
    <row r="19">
      <c r="A19" t="inlineStr" s="28">
        <is>
          <t xml:space="preserve">Clientes no fim do mês — projeção Base · Teste Pro 109 € — fixos 400 €/mês</t>
        </is>
      </c>
      <c r="B19" s="9">
        <v>0</v>
      </c>
      <c r="C19" s="9">
        <f>1</f>
        <v>1</v>
      </c>
      <c r="D19" s="9">
        <f>4</f>
        <v>4</v>
      </c>
      <c r="E19" s="9">
        <f>9</f>
        <v>9</v>
      </c>
      <c r="F19" s="9">
        <f>14</f>
        <v>14</v>
      </c>
      <c r="G19" s="9">
        <f>20</f>
        <v>20</v>
      </c>
      <c r="H19" s="9">
        <f>26</f>
        <v>26</v>
      </c>
      <c r="I19" s="9">
        <f>32</f>
        <v>32</v>
      </c>
      <c r="J19" s="9">
        <f>38</f>
        <v>38</v>
      </c>
      <c r="K19" s="9">
        <f>40</f>
        <v>40</v>
      </c>
      <c r="L19" s="9">
        <f>40</f>
        <v>40</v>
      </c>
      <c r="M19" s="9">
        <f>40</f>
        <v>40</v>
      </c>
      <c r="N19" s="9">
        <f>40</f>
        <v>40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</row>
    <row r="20">
      <c r="A20" t="inlineStr" s="28">
        <is>
          <t xml:space="preserve">Clientes no fim do mês — projeção Base · Base — fixos 300 €/mês</t>
        </is>
      </c>
      <c r="B20" s="9">
        <v>0</v>
      </c>
      <c r="C20" s="9">
        <f>1</f>
        <v>1</v>
      </c>
      <c r="D20" s="9">
        <f>4</f>
        <v>4</v>
      </c>
      <c r="E20" s="9">
        <f>9</f>
        <v>9</v>
      </c>
      <c r="F20" s="9">
        <f>14</f>
        <v>14</v>
      </c>
      <c r="G20" s="9">
        <f>20</f>
        <v>20</v>
      </c>
      <c r="H20" s="9">
        <f>26</f>
        <v>26</v>
      </c>
      <c r="I20" s="9">
        <f>32</f>
        <v>32</v>
      </c>
      <c r="J20" s="9">
        <f>38</f>
        <v>38</v>
      </c>
      <c r="K20" s="9">
        <f>40</f>
        <v>40</v>
      </c>
      <c r="L20" s="9">
        <f>40</f>
        <v>40</v>
      </c>
      <c r="M20" s="9">
        <f>40</f>
        <v>40</v>
      </c>
      <c r="N20" s="9">
        <f>40</f>
        <v>40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</row>
    <row r="21">
      <c r="A21" t="inlineStr" s="28">
        <is>
          <t xml:space="preserve">Clientes no fim do mês — projeção Base · DisruptRadar — Projeção mensal · Sensibilidade completa — preço Pro e fixos · Teste Pro 119 € — fixos 500 €/mês</t>
        </is>
      </c>
      <c r="B21" s="9">
        <v>0</v>
      </c>
      <c r="C21" s="9">
        <f>1</f>
        <v>1</v>
      </c>
      <c r="D21" s="9">
        <f>4</f>
        <v>4</v>
      </c>
      <c r="E21" s="9">
        <f>9</f>
        <v>9</v>
      </c>
      <c r="F21" s="9">
        <f>14</f>
        <v>14</v>
      </c>
      <c r="G21" s="9">
        <f>20</f>
        <v>20</v>
      </c>
      <c r="H21" s="9">
        <f>26</f>
        <v>26</v>
      </c>
      <c r="I21" s="9">
        <f>32</f>
        <v>32</v>
      </c>
      <c r="J21" s="9">
        <f>38</f>
        <v>38</v>
      </c>
      <c r="K21" s="9">
        <f>40</f>
        <v>40</v>
      </c>
      <c r="L21" s="9">
        <f>40</f>
        <v>40</v>
      </c>
      <c r="M21" s="9">
        <f>40</f>
        <v>40</v>
      </c>
      <c r="N21" s="9">
        <f>40</f>
        <v>40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</row>
    <row r="22">
      <c r="A22" t="inlineStr" s="28">
        <is>
          <t xml:space="preserve">Clientes no fim do mês — projeção Base · Teste Pro 119 € — fixos 400 €/mês</t>
        </is>
      </c>
      <c r="B22" s="9">
        <v>0</v>
      </c>
      <c r="C22" s="9">
        <f>1</f>
        <v>1</v>
      </c>
      <c r="D22" s="9">
        <f>4</f>
        <v>4</v>
      </c>
      <c r="E22" s="9">
        <f>9</f>
        <v>9</v>
      </c>
      <c r="F22" s="9">
        <f>14</f>
        <v>14</v>
      </c>
      <c r="G22" s="9">
        <f>20</f>
        <v>20</v>
      </c>
      <c r="H22" s="9">
        <f>26</f>
        <v>26</v>
      </c>
      <c r="I22" s="9">
        <f>32</f>
        <v>32</v>
      </c>
      <c r="J22" s="9">
        <f>38</f>
        <v>38</v>
      </c>
      <c r="K22" s="9">
        <f>40</f>
        <v>40</v>
      </c>
      <c r="L22" s="9">
        <f>40</f>
        <v>40</v>
      </c>
      <c r="M22" s="9">
        <f>40</f>
        <v>40</v>
      </c>
      <c r="N22" s="9">
        <f>40</f>
        <v>40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</row>
    <row r="23">
      <c r="A23" t="inlineStr" s="28">
        <is>
          <t xml:space="preserve">Clientes no fim do mês — projeção Base · Teste Pro 109 € — fixos 300 €/mês</t>
        </is>
      </c>
      <c r="B23" s="9">
        <v>0</v>
      </c>
      <c r="C23" s="9">
        <f>1</f>
        <v>1</v>
      </c>
      <c r="D23" s="9">
        <f>4</f>
        <v>4</v>
      </c>
      <c r="E23" s="9">
        <f>9</f>
        <v>9</v>
      </c>
      <c r="F23" s="9">
        <f>14</f>
        <v>14</v>
      </c>
      <c r="G23" s="9">
        <f>20</f>
        <v>20</v>
      </c>
      <c r="H23" s="9">
        <f>26</f>
        <v>26</v>
      </c>
      <c r="I23" s="9">
        <f>32</f>
        <v>32</v>
      </c>
      <c r="J23" s="9">
        <f>38</f>
        <v>38</v>
      </c>
      <c r="K23" s="9">
        <f>40</f>
        <v>40</v>
      </c>
      <c r="L23" s="9">
        <f>40</f>
        <v>40</v>
      </c>
      <c r="M23" s="9">
        <f>40</f>
        <v>40</v>
      </c>
      <c r="N23" s="9">
        <f>40</f>
        <v>40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</row>
    <row r="24">
      <c r="A24" t="inlineStr" s="28">
        <is>
          <t xml:space="preserve">Clientes no fim do mês — projeção Base · Teste Pro 119 € — fixos 300 €/mês</t>
        </is>
      </c>
      <c r="B24" s="9">
        <v>0</v>
      </c>
      <c r="C24" s="9">
        <f>1</f>
        <v>1</v>
      </c>
      <c r="D24" s="9">
        <f>4</f>
        <v>4</v>
      </c>
      <c r="E24" s="9">
        <f>9</f>
        <v>9</v>
      </c>
      <c r="F24" s="9">
        <f>14</f>
        <v>14</v>
      </c>
      <c r="G24" s="9">
        <f>20</f>
        <v>20</v>
      </c>
      <c r="H24" s="9">
        <f>26</f>
        <v>26</v>
      </c>
      <c r="I24" s="9">
        <f>32</f>
        <v>32</v>
      </c>
      <c r="J24" s="9">
        <f>38</f>
        <v>38</v>
      </c>
      <c r="K24" s="9">
        <f>40</f>
        <v>40</v>
      </c>
      <c r="L24" s="9">
        <f>40</f>
        <v>40</v>
      </c>
      <c r="M24" s="9">
        <f>40</f>
        <v>40</v>
      </c>
      <c r="N24" s="9">
        <f>40</f>
        <v>40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</row>
    <row r="25">
      <c r="A25" t="inlineStr" s="28">
        <is>
          <t xml:space="preserve">Custo variável por domínio por mês — estimativa (EUR) · DisruptRadar Business Plan · Premissas DisruptRadar — Ano 1 · Base</t>
        </is>
      </c>
      <c r="Z25" s="9">
        <f>3</f>
        <v>3</v>
      </c>
    </row>
    <row r="26">
      <c r="A26" t="inlineStr" s="28">
        <is>
          <t xml:space="preserve">Custo variável por domínio por mês — estimativa (EUR) · DisruptRadar — Projeção mensal · Projeção mensal Base — clientes, resultado e caixa · Base</t>
        </is>
      </c>
      <c r="AA26" s="9">
        <f>3</f>
        <v>3</v>
      </c>
    </row>
    <row r="27">
      <c r="A27" t="inlineStr" s="28">
        <is>
          <t xml:space="preserve">Custo variável por domínio por mês — estimativa (EUR) · Teste Pro 109 € — fixos 500 €/mês</t>
        </is>
      </c>
      <c r="Z27" s="9">
        <f>3</f>
        <v>3</v>
      </c>
    </row>
    <row r="28">
      <c r="A28" t="inlineStr" s="28">
        <is>
          <t xml:space="preserve">Custo variável por domínio por mês — estimativa (EUR) · Pessimista</t>
        </is>
      </c>
      <c r="Z28" s="9">
        <f>3</f>
        <v>3</v>
      </c>
    </row>
    <row r="29">
      <c r="A29" t="inlineStr" s="28">
        <is>
          <t xml:space="preserve">Custo variável por domínio por mês — estimativa (EUR) · Otimista</t>
        </is>
      </c>
      <c r="Z29" s="9">
        <f>3</f>
        <v>3</v>
      </c>
    </row>
    <row r="30">
      <c r="A30" t="inlineStr" s="28">
        <is>
          <t xml:space="preserve">Custo variável por domínio por mês — estimativa (EUR) · Teste Pro 119 € — fixos 500 €/mês</t>
        </is>
      </c>
      <c r="Z30" s="9">
        <f>3</f>
        <v>3</v>
      </c>
    </row>
    <row r="31">
      <c r="A31" t="inlineStr" s="28">
        <is>
          <t xml:space="preserve">Custos totais mensais — projeção Base (EUR) · DisruptRadar — Projeção mensal · Projeção mensal Base — clientes, resultado e caixa · Base</t>
        </is>
      </c>
      <c r="B31" s="20">
        <f>'Model inputs'!B51+'Model inputs'!B62</f>
        <v>500</v>
      </c>
      <c r="C31" s="20">
        <f>'Model inputs'!C51+'Model inputs'!C62</f>
        <v>530</v>
      </c>
      <c r="D31" s="20">
        <f>'Model inputs'!D51+'Model inputs'!D62</f>
        <v>620</v>
      </c>
      <c r="E31" s="20">
        <f>'Model inputs'!E51+'Model inputs'!E62</f>
        <v>770</v>
      </c>
      <c r="F31" s="20">
        <f>'Model inputs'!F51+'Model inputs'!F62</f>
        <v>920</v>
      </c>
      <c r="G31" s="20">
        <f>'Model inputs'!G51+'Model inputs'!G62</f>
        <v>1100</v>
      </c>
      <c r="H31" s="20">
        <f>'Model inputs'!H51+'Model inputs'!H62</f>
        <v>1280</v>
      </c>
      <c r="I31" s="20">
        <f>'Model inputs'!I51+'Model inputs'!I62</f>
        <v>1460</v>
      </c>
      <c r="J31" s="20">
        <f>'Model inputs'!J51+'Model inputs'!J62</f>
        <v>1640</v>
      </c>
      <c r="K31" s="20">
        <f>'Model inputs'!K51+'Model inputs'!K62</f>
        <v>1700</v>
      </c>
      <c r="L31" s="20">
        <f>'Model inputs'!L51+'Model inputs'!L62</f>
        <v>1700</v>
      </c>
      <c r="M31" s="20">
        <f>'Model inputs'!M51+'Model inputs'!M62</f>
        <v>1700</v>
      </c>
      <c r="N31" s="20">
        <f>'Model inputs'!N51+'Model inputs'!N62</f>
        <v>1700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f>'Model inputs'!X51+'Model inputs'!X62</f>
        <v>500</v>
      </c>
      <c r="Y31" s="20">
        <f>'Model inputs'!Y51+'Model inputs'!Y62</f>
        <v>500</v>
      </c>
    </row>
    <row r="32">
      <c r="A32" t="inlineStr" s="28">
        <is>
          <t xml:space="preserve">Custos totais mensais — projeção Base (EUR) · Base — fixos 400 €/mês</t>
        </is>
      </c>
      <c r="B32" s="20">
        <f>'Model inputs'!B53+'Model inputs'!B103</f>
        <v>400</v>
      </c>
      <c r="C32" s="20">
        <f>'Model inputs'!C53+'Model inputs'!C103</f>
        <v>430</v>
      </c>
      <c r="D32" s="20">
        <f>'Model inputs'!D53+'Model inputs'!D103</f>
        <v>520</v>
      </c>
      <c r="E32" s="20">
        <f>'Model inputs'!E53+'Model inputs'!E103</f>
        <v>670</v>
      </c>
      <c r="F32" s="20">
        <f>'Model inputs'!F53+'Model inputs'!F103</f>
        <v>820</v>
      </c>
      <c r="G32" s="20">
        <f>'Model inputs'!G53+'Model inputs'!G103</f>
        <v>1000</v>
      </c>
      <c r="H32" s="20">
        <f>'Model inputs'!H53+'Model inputs'!H103</f>
        <v>1180</v>
      </c>
      <c r="I32" s="20">
        <f>'Model inputs'!I53+'Model inputs'!I103</f>
        <v>1360</v>
      </c>
      <c r="J32" s="20">
        <f>'Model inputs'!J53+'Model inputs'!J103</f>
        <v>1540</v>
      </c>
      <c r="K32" s="20">
        <f>'Model inputs'!K53+'Model inputs'!K103</f>
        <v>1600</v>
      </c>
      <c r="L32" s="20">
        <f>'Model inputs'!L53+'Model inputs'!L103</f>
        <v>1600</v>
      </c>
      <c r="M32" s="20">
        <f>'Model inputs'!M53+'Model inputs'!M103</f>
        <v>1600</v>
      </c>
      <c r="N32" s="20">
        <f>'Model inputs'!N53+'Model inputs'!N103</f>
        <v>1600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f>'Model inputs'!X53+'Model inputs'!X103</f>
        <v>400</v>
      </c>
      <c r="Y32" s="20">
        <f>'Model inputs'!Y53+'Model inputs'!Y103</f>
        <v>400</v>
      </c>
    </row>
    <row r="33">
      <c r="A33" t="inlineStr" s="28">
        <is>
          <t xml:space="preserve">Custos totais mensais — projeção Base (EUR) · Base — fixos 300 €/mês</t>
        </is>
      </c>
      <c r="B33" s="20">
        <f>'Model inputs'!B55+'Model inputs'!B104</f>
        <v>300</v>
      </c>
      <c r="C33" s="20">
        <f>'Model inputs'!C55+'Model inputs'!C104</f>
        <v>330</v>
      </c>
      <c r="D33" s="20">
        <f>'Model inputs'!D55+'Model inputs'!D104</f>
        <v>420</v>
      </c>
      <c r="E33" s="20">
        <f>'Model inputs'!E55+'Model inputs'!E104</f>
        <v>570</v>
      </c>
      <c r="F33" s="20">
        <f>'Model inputs'!F55+'Model inputs'!F104</f>
        <v>720</v>
      </c>
      <c r="G33" s="20">
        <f>'Model inputs'!G55+'Model inputs'!G104</f>
        <v>900</v>
      </c>
      <c r="H33" s="20">
        <f>'Model inputs'!H55+'Model inputs'!H104</f>
        <v>1080</v>
      </c>
      <c r="I33" s="20">
        <f>'Model inputs'!I55+'Model inputs'!I104</f>
        <v>1260</v>
      </c>
      <c r="J33" s="20">
        <f>'Model inputs'!J55+'Model inputs'!J104</f>
        <v>1440</v>
      </c>
      <c r="K33" s="20">
        <f>'Model inputs'!K55+'Model inputs'!K104</f>
        <v>1500</v>
      </c>
      <c r="L33" s="20">
        <f>'Model inputs'!L55+'Model inputs'!L104</f>
        <v>1500</v>
      </c>
      <c r="M33" s="20">
        <f>'Model inputs'!M55+'Model inputs'!M104</f>
        <v>1500</v>
      </c>
      <c r="N33" s="20">
        <f>'Model inputs'!N55+'Model inputs'!N104</f>
        <v>1500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f>'Model inputs'!X55+'Model inputs'!X104</f>
        <v>300</v>
      </c>
      <c r="Y33" s="20">
        <f>'Model inputs'!Y55+'Model inputs'!Y104</f>
        <v>300</v>
      </c>
    </row>
    <row r="34">
      <c r="A34" t="inlineStr" s="28">
        <is>
          <t xml:space="preserve">Custos totais mensais — projeção Base (EUR) · Base — fixos 500 €/mês</t>
        </is>
      </c>
      <c r="B34" s="20">
        <f>'Model inputs'!B102+'Model inputs'!B105</f>
        <v>500</v>
      </c>
      <c r="C34" s="20">
        <f>'Model inputs'!C102+'Model inputs'!C105</f>
        <v>530</v>
      </c>
      <c r="D34" s="20">
        <f>'Model inputs'!D102+'Model inputs'!D105</f>
        <v>620</v>
      </c>
      <c r="E34" s="20">
        <f>'Model inputs'!E102+'Model inputs'!E105</f>
        <v>770</v>
      </c>
      <c r="F34" s="20">
        <f>'Model inputs'!F102+'Model inputs'!F105</f>
        <v>920</v>
      </c>
      <c r="G34" s="20">
        <f>'Model inputs'!G102+'Model inputs'!G105</f>
        <v>1100</v>
      </c>
      <c r="H34" s="20">
        <f>'Model inputs'!H102+'Model inputs'!H105</f>
        <v>1280</v>
      </c>
      <c r="I34" s="20">
        <f>'Model inputs'!I102+'Model inputs'!I105</f>
        <v>1460</v>
      </c>
      <c r="J34" s="20">
        <f>'Model inputs'!J102+'Model inputs'!J105</f>
        <v>1640</v>
      </c>
      <c r="K34" s="20">
        <f>'Model inputs'!K102+'Model inputs'!K105</f>
        <v>1700</v>
      </c>
      <c r="L34" s="20">
        <f>'Model inputs'!L102+'Model inputs'!L105</f>
        <v>1700</v>
      </c>
      <c r="M34" s="20">
        <f>'Model inputs'!M102+'Model inputs'!M105</f>
        <v>1700</v>
      </c>
      <c r="N34" s="20">
        <f>'Model inputs'!N102+'Model inputs'!N105</f>
        <v>1700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f>'Model inputs'!X102+'Model inputs'!X105</f>
        <v>500</v>
      </c>
      <c r="Y34" s="20">
        <f>'Model inputs'!Y102+'Model inputs'!Y105</f>
        <v>500</v>
      </c>
    </row>
    <row r="35">
      <c r="A35" t="inlineStr" s="28">
        <is>
          <t xml:space="preserve">Domínios médios por cliente Pro — hipótese · DisruptRadar Business Plan · Premissas DisruptRadar — Ano 1 · Base</t>
        </is>
      </c>
      <c r="Z35" s="9">
        <f>10</f>
        <v>10</v>
      </c>
    </row>
    <row r="36">
      <c r="A36" t="inlineStr" s="28">
        <is>
          <t xml:space="preserve">Domínios médios por cliente Pro — hipótese · DisruptRadar — Projeção mensal · Projeção mensal Base — clientes, resultado e caixa · Base</t>
        </is>
      </c>
      <c r="AA36" s="9">
        <f>10</f>
        <v>10</v>
      </c>
    </row>
    <row r="37">
      <c r="A37" t="inlineStr" s="28">
        <is>
          <t xml:space="preserve">Domínios médios por cliente Pro — hipótese · Teste Pro 109 € — fixos 500 €/mês</t>
        </is>
      </c>
      <c r="Z37" s="9">
        <f>10</f>
        <v>10</v>
      </c>
    </row>
    <row r="38">
      <c r="A38" t="inlineStr" s="28">
        <is>
          <t xml:space="preserve">Domínios médios por cliente Pro — hipótese · Pessimista</t>
        </is>
      </c>
      <c r="Z38" s="9">
        <f>10</f>
        <v>10</v>
      </c>
    </row>
    <row r="39">
      <c r="A39" t="inlineStr" s="28">
        <is>
          <t xml:space="preserve">Domínios médios por cliente Pro — hipótese · Otimista</t>
        </is>
      </c>
      <c r="Z39" s="9">
        <f>10</f>
        <v>10</v>
      </c>
    </row>
    <row r="40">
      <c r="A40" t="inlineStr" s="28">
        <is>
          <t xml:space="preserve">Domínios médios por cliente Pro — hipótese · Teste Pro 119 € — fixos 500 €/mês</t>
        </is>
      </c>
      <c r="Z40" s="9">
        <f>10</f>
        <v>10</v>
      </c>
    </row>
    <row r="41">
      <c r="A41" t="inlineStr" s="28">
        <is>
          <t xml:space="preserve">EBITDA mensal — projeção Base (EUR) · DisruptRadar — Projeção mensal · Projeção mensal Base — clientes, resultado e caixa · Base</t>
        </is>
      </c>
      <c r="B41" s="20">
        <f>'Model inputs'!B67-'Model inputs'!B31</f>
        <v>-500</v>
      </c>
      <c r="C41" s="20">
        <f>'Model inputs'!C67-'Model inputs'!C31</f>
        <v>-431</v>
      </c>
      <c r="D41" s="20">
        <f>'Model inputs'!D67-'Model inputs'!D31</f>
        <v>-224</v>
      </c>
      <c r="E41" s="20">
        <f>'Model inputs'!E67-'Model inputs'!E31</f>
        <v>121</v>
      </c>
      <c r="F41" s="20">
        <f>'Model inputs'!F67-'Model inputs'!F31</f>
        <v>466</v>
      </c>
      <c r="G41" s="20">
        <f>'Model inputs'!G67-'Model inputs'!G31</f>
        <v>880</v>
      </c>
      <c r="H41" s="20">
        <f>'Model inputs'!H67-'Model inputs'!H31</f>
        <v>1294</v>
      </c>
      <c r="I41" s="20">
        <f>'Model inputs'!I67-'Model inputs'!I31</f>
        <v>1708</v>
      </c>
      <c r="J41" s="20">
        <f>'Model inputs'!J67-'Model inputs'!J31</f>
        <v>2122</v>
      </c>
      <c r="K41" s="20">
        <f>'Model inputs'!K67-'Model inputs'!K31</f>
        <v>2260</v>
      </c>
      <c r="L41" s="20">
        <f>'Model inputs'!L67-'Model inputs'!L31</f>
        <v>2260</v>
      </c>
      <c r="M41" s="20">
        <f>'Model inputs'!M67-'Model inputs'!M31</f>
        <v>2260</v>
      </c>
      <c r="N41" s="20">
        <f>'Model inputs'!N67-'Model inputs'!N31</f>
        <v>2260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f>'Model inputs'!X67-'Model inputs'!X31</f>
        <v>-500</v>
      </c>
      <c r="Y41" s="20">
        <f>'Model inputs'!Y67-'Model inputs'!Y31</f>
        <v>-500</v>
      </c>
    </row>
    <row r="42">
      <c r="A42" t="inlineStr" s="28">
        <is>
          <t xml:space="preserve">EBITDA mensal — projeção Base (EUR) · Teste Pro 109 € — fixos 500 €/mês</t>
        </is>
      </c>
      <c r="B42" s="20">
        <f>'Model inputs'!B68-'Model inputs'!B88</f>
        <v>-500</v>
      </c>
      <c r="C42" s="20">
        <f>'Model inputs'!C68-'Model inputs'!C88</f>
        <v>-421</v>
      </c>
      <c r="D42" s="20">
        <f>'Model inputs'!D68-'Model inputs'!D88</f>
        <v>-184</v>
      </c>
      <c r="E42" s="20">
        <f>'Model inputs'!E68-'Model inputs'!E88</f>
        <v>211</v>
      </c>
      <c r="F42" s="20">
        <f>'Model inputs'!F68-'Model inputs'!F88</f>
        <v>606</v>
      </c>
      <c r="G42" s="20">
        <f>'Model inputs'!G68-'Model inputs'!G88</f>
        <v>1080</v>
      </c>
      <c r="H42" s="20">
        <f>'Model inputs'!H68-'Model inputs'!H88</f>
        <v>1554</v>
      </c>
      <c r="I42" s="20">
        <f>'Model inputs'!I68-'Model inputs'!I88</f>
        <v>2028</v>
      </c>
      <c r="J42" s="20">
        <f>'Model inputs'!J68-'Model inputs'!J88</f>
        <v>2502</v>
      </c>
      <c r="K42" s="20">
        <f>'Model inputs'!K68-'Model inputs'!K88</f>
        <v>2660</v>
      </c>
      <c r="L42" s="20">
        <f>'Model inputs'!L68-'Model inputs'!L88</f>
        <v>2660</v>
      </c>
      <c r="M42" s="20">
        <f>'Model inputs'!M68-'Model inputs'!M88</f>
        <v>2660</v>
      </c>
      <c r="N42" s="20">
        <f>'Model inputs'!N68-'Model inputs'!N88</f>
        <v>2660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f>'Model inputs'!X68-'Model inputs'!X88</f>
        <v>-500</v>
      </c>
      <c r="Y42" s="20">
        <f>'Model inputs'!Y68-'Model inputs'!Y88</f>
        <v>-500</v>
      </c>
    </row>
    <row r="43">
      <c r="A43" t="inlineStr" s="28">
        <is>
          <t xml:space="preserve">EBITDA mensal — projeção Base (EUR) · Base — fixos 400 €/mês</t>
        </is>
      </c>
      <c r="B43" s="20">
        <f>'Model inputs'!B69-'Model inputs'!B32</f>
        <v>-400</v>
      </c>
      <c r="C43" s="20">
        <f>'Model inputs'!C69-'Model inputs'!C32</f>
        <v>-331</v>
      </c>
      <c r="D43" s="20">
        <f>'Model inputs'!D69-'Model inputs'!D32</f>
        <v>-124</v>
      </c>
      <c r="E43" s="20">
        <f>'Model inputs'!E69-'Model inputs'!E32</f>
        <v>221</v>
      </c>
      <c r="F43" s="20">
        <f>'Model inputs'!F69-'Model inputs'!F32</f>
        <v>566</v>
      </c>
      <c r="G43" s="20">
        <f>'Model inputs'!G69-'Model inputs'!G32</f>
        <v>980</v>
      </c>
      <c r="H43" s="20">
        <f>'Model inputs'!H69-'Model inputs'!H32</f>
        <v>1394</v>
      </c>
      <c r="I43" s="20">
        <f>'Model inputs'!I69-'Model inputs'!I32</f>
        <v>1808</v>
      </c>
      <c r="J43" s="20">
        <f>'Model inputs'!J69-'Model inputs'!J32</f>
        <v>2222</v>
      </c>
      <c r="K43" s="20">
        <f>'Model inputs'!K69-'Model inputs'!K32</f>
        <v>2360</v>
      </c>
      <c r="L43" s="20">
        <f>'Model inputs'!L69-'Model inputs'!L32</f>
        <v>2360</v>
      </c>
      <c r="M43" s="20">
        <f>'Model inputs'!M69-'Model inputs'!M32</f>
        <v>2360</v>
      </c>
      <c r="N43" s="20">
        <f>'Model inputs'!N69-'Model inputs'!N32</f>
        <v>2360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f>'Model inputs'!X69-'Model inputs'!X32</f>
        <v>-400</v>
      </c>
      <c r="Y43" s="20">
        <f>'Model inputs'!Y69-'Model inputs'!Y32</f>
        <v>-400</v>
      </c>
    </row>
    <row r="44">
      <c r="A44" t="inlineStr" s="28">
        <is>
          <t xml:space="preserve">EBITDA mensal — projeção Base (EUR) · Teste Pro 109 € — fixos 400 €/mês</t>
        </is>
      </c>
      <c r="B44" s="20">
        <f>'Model inputs'!B70-'Model inputs'!B89</f>
        <v>-400</v>
      </c>
      <c r="C44" s="20">
        <f>'Model inputs'!C70-'Model inputs'!C89</f>
        <v>-321</v>
      </c>
      <c r="D44" s="20">
        <f>'Model inputs'!D70-'Model inputs'!D89</f>
        <v>-84</v>
      </c>
      <c r="E44" s="20">
        <f>'Model inputs'!E70-'Model inputs'!E89</f>
        <v>311</v>
      </c>
      <c r="F44" s="20">
        <f>'Model inputs'!F70-'Model inputs'!F89</f>
        <v>706</v>
      </c>
      <c r="G44" s="20">
        <f>'Model inputs'!G70-'Model inputs'!G89</f>
        <v>1180</v>
      </c>
      <c r="H44" s="20">
        <f>'Model inputs'!H70-'Model inputs'!H89</f>
        <v>1654</v>
      </c>
      <c r="I44" s="20">
        <f>'Model inputs'!I70-'Model inputs'!I89</f>
        <v>2128</v>
      </c>
      <c r="J44" s="20">
        <f>'Model inputs'!J70-'Model inputs'!J89</f>
        <v>2602</v>
      </c>
      <c r="K44" s="20">
        <f>'Model inputs'!K70-'Model inputs'!K89</f>
        <v>2760</v>
      </c>
      <c r="L44" s="20">
        <f>'Model inputs'!L70-'Model inputs'!L89</f>
        <v>2760</v>
      </c>
      <c r="M44" s="20">
        <f>'Model inputs'!M70-'Model inputs'!M89</f>
        <v>2760</v>
      </c>
      <c r="N44" s="20">
        <f>'Model inputs'!N70-'Model inputs'!N89</f>
        <v>2760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f>'Model inputs'!X70-'Model inputs'!X89</f>
        <v>-400</v>
      </c>
      <c r="Y44" s="20">
        <f>'Model inputs'!Y70-'Model inputs'!Y89</f>
        <v>-400</v>
      </c>
    </row>
    <row r="45">
      <c r="A45" t="inlineStr" s="28">
        <is>
          <t xml:space="preserve">EBITDA mensal — projeção Base (EUR) · Base — fixos 300 €/mês</t>
        </is>
      </c>
      <c r="B45" s="20">
        <f>'Model inputs'!B71-'Model inputs'!B33</f>
        <v>-300</v>
      </c>
      <c r="C45" s="20">
        <f>'Model inputs'!C71-'Model inputs'!C33</f>
        <v>-231</v>
      </c>
      <c r="D45" s="20">
        <f>'Model inputs'!D71-'Model inputs'!D33</f>
        <v>-24</v>
      </c>
      <c r="E45" s="20">
        <f>'Model inputs'!E71-'Model inputs'!E33</f>
        <v>321</v>
      </c>
      <c r="F45" s="20">
        <f>'Model inputs'!F71-'Model inputs'!F33</f>
        <v>666</v>
      </c>
      <c r="G45" s="20">
        <f>'Model inputs'!G71-'Model inputs'!G33</f>
        <v>1080</v>
      </c>
      <c r="H45" s="20">
        <f>'Model inputs'!H71-'Model inputs'!H33</f>
        <v>1494</v>
      </c>
      <c r="I45" s="20">
        <f>'Model inputs'!I71-'Model inputs'!I33</f>
        <v>1908</v>
      </c>
      <c r="J45" s="20">
        <f>'Model inputs'!J71-'Model inputs'!J33</f>
        <v>2322</v>
      </c>
      <c r="K45" s="20">
        <f>'Model inputs'!K71-'Model inputs'!K33</f>
        <v>2460</v>
      </c>
      <c r="L45" s="20">
        <f>'Model inputs'!L71-'Model inputs'!L33</f>
        <v>2460</v>
      </c>
      <c r="M45" s="20">
        <f>'Model inputs'!M71-'Model inputs'!M33</f>
        <v>2460</v>
      </c>
      <c r="N45" s="20">
        <f>'Model inputs'!N71-'Model inputs'!N33</f>
        <v>2460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f>'Model inputs'!X71-'Model inputs'!X33</f>
        <v>-300</v>
      </c>
      <c r="Y45" s="20">
        <f>'Model inputs'!Y71-'Model inputs'!Y33</f>
        <v>-300</v>
      </c>
    </row>
    <row r="46">
      <c r="A46" t="inlineStr" s="28">
        <is>
          <t xml:space="preserve">EBITDA mensal — projeção Base (EUR) · Teste Pro 119 € — fixos 500 €/mês</t>
        </is>
      </c>
      <c r="B46" s="20">
        <f>'Model inputs'!B72-'Model inputs'!B90</f>
        <v>-500</v>
      </c>
      <c r="C46" s="20">
        <f>'Model inputs'!C72-'Model inputs'!C90</f>
        <v>-411</v>
      </c>
      <c r="D46" s="20">
        <f>'Model inputs'!D72-'Model inputs'!D90</f>
        <v>-144</v>
      </c>
      <c r="E46" s="20">
        <f>'Model inputs'!E72-'Model inputs'!E90</f>
        <v>301</v>
      </c>
      <c r="F46" s="20">
        <f>'Model inputs'!F72-'Model inputs'!F90</f>
        <v>746</v>
      </c>
      <c r="G46" s="20">
        <f>'Model inputs'!G72-'Model inputs'!G90</f>
        <v>1280</v>
      </c>
      <c r="H46" s="20">
        <f>'Model inputs'!H72-'Model inputs'!H90</f>
        <v>1814</v>
      </c>
      <c r="I46" s="20">
        <f>'Model inputs'!I72-'Model inputs'!I90</f>
        <v>2348</v>
      </c>
      <c r="J46" s="20">
        <f>'Model inputs'!J72-'Model inputs'!J90</f>
        <v>2882</v>
      </c>
      <c r="K46" s="20">
        <f>'Model inputs'!K72-'Model inputs'!K90</f>
        <v>3060</v>
      </c>
      <c r="L46" s="20">
        <f>'Model inputs'!L72-'Model inputs'!L90</f>
        <v>3060</v>
      </c>
      <c r="M46" s="20">
        <f>'Model inputs'!M72-'Model inputs'!M90</f>
        <v>3060</v>
      </c>
      <c r="N46" s="20">
        <f>'Model inputs'!N72-'Model inputs'!N90</f>
        <v>3060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f>'Model inputs'!X72-'Model inputs'!X90</f>
        <v>-500</v>
      </c>
      <c r="Y46" s="20">
        <f>'Model inputs'!Y72-'Model inputs'!Y90</f>
        <v>-500</v>
      </c>
    </row>
    <row r="47">
      <c r="A47" t="inlineStr" s="28">
        <is>
          <t xml:space="preserve">EBITDA mensal — projeção Base (EUR) · Teste Pro 119 € — fixos 400 €/mês</t>
        </is>
      </c>
      <c r="B47" s="20">
        <f>'Model inputs'!B73-'Model inputs'!B91</f>
        <v>-400</v>
      </c>
      <c r="C47" s="20">
        <f>'Model inputs'!C73-'Model inputs'!C91</f>
        <v>-311</v>
      </c>
      <c r="D47" s="20">
        <f>'Model inputs'!D73-'Model inputs'!D91</f>
        <v>-44</v>
      </c>
      <c r="E47" s="20">
        <f>'Model inputs'!E73-'Model inputs'!E91</f>
        <v>401</v>
      </c>
      <c r="F47" s="20">
        <f>'Model inputs'!F73-'Model inputs'!F91</f>
        <v>846</v>
      </c>
      <c r="G47" s="20">
        <f>'Model inputs'!G73-'Model inputs'!G91</f>
        <v>1380</v>
      </c>
      <c r="H47" s="20">
        <f>'Model inputs'!H73-'Model inputs'!H91</f>
        <v>1914</v>
      </c>
      <c r="I47" s="20">
        <f>'Model inputs'!I73-'Model inputs'!I91</f>
        <v>2448</v>
      </c>
      <c r="J47" s="20">
        <f>'Model inputs'!J73-'Model inputs'!J91</f>
        <v>2982</v>
      </c>
      <c r="K47" s="20">
        <f>'Model inputs'!K73-'Model inputs'!K91</f>
        <v>3160</v>
      </c>
      <c r="L47" s="20">
        <f>'Model inputs'!L73-'Model inputs'!L91</f>
        <v>3160</v>
      </c>
      <c r="M47" s="20">
        <f>'Model inputs'!M73-'Model inputs'!M91</f>
        <v>3160</v>
      </c>
      <c r="N47" s="20">
        <f>'Model inputs'!N73-'Model inputs'!N91</f>
        <v>3160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f>'Model inputs'!X73-'Model inputs'!X91</f>
        <v>-400</v>
      </c>
      <c r="Y47" s="20">
        <f>'Model inputs'!Y73-'Model inputs'!Y91</f>
        <v>-400</v>
      </c>
    </row>
    <row r="48">
      <c r="A48" t="inlineStr" s="28">
        <is>
          <t xml:space="preserve">EBITDA mensal — projeção Base (EUR) · Base — fixos 500 €/mês</t>
        </is>
      </c>
      <c r="B48" s="20">
        <f>'Model inputs'!B106-'Model inputs'!B34</f>
        <v>-500</v>
      </c>
      <c r="C48" s="20">
        <f>'Model inputs'!C106-'Model inputs'!C34</f>
        <v>-431</v>
      </c>
      <c r="D48" s="20">
        <f>'Model inputs'!D106-'Model inputs'!D34</f>
        <v>-224</v>
      </c>
      <c r="E48" s="20">
        <f>'Model inputs'!E106-'Model inputs'!E34</f>
        <v>121</v>
      </c>
      <c r="F48" s="20">
        <f>'Model inputs'!F106-'Model inputs'!F34</f>
        <v>466</v>
      </c>
      <c r="G48" s="20">
        <f>'Model inputs'!G106-'Model inputs'!G34</f>
        <v>880</v>
      </c>
      <c r="H48" s="20">
        <f>'Model inputs'!H106-'Model inputs'!H34</f>
        <v>1294</v>
      </c>
      <c r="I48" s="20">
        <f>'Model inputs'!I106-'Model inputs'!I34</f>
        <v>1708</v>
      </c>
      <c r="J48" s="20">
        <f>'Model inputs'!J106-'Model inputs'!J34</f>
        <v>2122</v>
      </c>
      <c r="K48" s="20">
        <f>'Model inputs'!K106-'Model inputs'!K34</f>
        <v>2260</v>
      </c>
      <c r="L48" s="20">
        <f>'Model inputs'!L106-'Model inputs'!L34</f>
        <v>2260</v>
      </c>
      <c r="M48" s="20">
        <f>'Model inputs'!M106-'Model inputs'!M34</f>
        <v>2260</v>
      </c>
      <c r="N48" s="20">
        <f>'Model inputs'!N106-'Model inputs'!N34</f>
        <v>2260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f>'Model inputs'!X106-'Model inputs'!X34</f>
        <v>-500</v>
      </c>
      <c r="Y48" s="20">
        <f>'Model inputs'!Y106-'Model inputs'!Y34</f>
        <v>-500</v>
      </c>
    </row>
    <row r="49">
      <c r="A49" t="inlineStr" s="28">
        <is>
          <t xml:space="preserve">EBITDA mensal — projeção Base (EUR) · Teste Pro 109 € — fixos 300 €/mês</t>
        </is>
      </c>
      <c r="B49" s="20">
        <f>'Model inputs'!B74-'Model inputs'!B92</f>
        <v>-300</v>
      </c>
      <c r="C49" s="20">
        <f>'Model inputs'!C74-'Model inputs'!C92</f>
        <v>-221</v>
      </c>
      <c r="D49" s="20">
        <f>'Model inputs'!D74-'Model inputs'!D92</f>
        <v>16</v>
      </c>
      <c r="E49" s="20">
        <f>'Model inputs'!E74-'Model inputs'!E92</f>
        <v>411</v>
      </c>
      <c r="F49" s="20">
        <f>'Model inputs'!F74-'Model inputs'!F92</f>
        <v>806</v>
      </c>
      <c r="G49" s="20">
        <f>'Model inputs'!G74-'Model inputs'!G92</f>
        <v>1280</v>
      </c>
      <c r="H49" s="20">
        <f>'Model inputs'!H74-'Model inputs'!H92</f>
        <v>1754</v>
      </c>
      <c r="I49" s="20">
        <f>'Model inputs'!I74-'Model inputs'!I92</f>
        <v>2228</v>
      </c>
      <c r="J49" s="20">
        <f>'Model inputs'!J74-'Model inputs'!J92</f>
        <v>2702</v>
      </c>
      <c r="K49" s="20">
        <f>'Model inputs'!K74-'Model inputs'!K92</f>
        <v>2860</v>
      </c>
      <c r="L49" s="20">
        <f>'Model inputs'!L74-'Model inputs'!L92</f>
        <v>2860</v>
      </c>
      <c r="M49" s="20">
        <f>'Model inputs'!M74-'Model inputs'!M92</f>
        <v>2860</v>
      </c>
      <c r="N49" s="20">
        <f>'Model inputs'!N74-'Model inputs'!N92</f>
        <v>2860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f>'Model inputs'!X74-'Model inputs'!X92</f>
        <v>-300</v>
      </c>
      <c r="Y49" s="20">
        <f>'Model inputs'!Y74-'Model inputs'!Y92</f>
        <v>-300</v>
      </c>
    </row>
    <row r="50">
      <c r="A50" t="inlineStr" s="28">
        <is>
          <t xml:space="preserve">EBITDA mensal — projeção Base (EUR) · Teste Pro 119 € — fixos 300 €/mês</t>
        </is>
      </c>
      <c r="B50" s="20">
        <f>'Model inputs'!B75-'Model inputs'!B93</f>
        <v>-300</v>
      </c>
      <c r="C50" s="20">
        <f>'Model inputs'!C75-'Model inputs'!C93</f>
        <v>-211</v>
      </c>
      <c r="D50" s="20">
        <f>'Model inputs'!D75-'Model inputs'!D93</f>
        <v>56</v>
      </c>
      <c r="E50" s="20">
        <f>'Model inputs'!E75-'Model inputs'!E93</f>
        <v>501</v>
      </c>
      <c r="F50" s="20">
        <f>'Model inputs'!F75-'Model inputs'!F93</f>
        <v>946</v>
      </c>
      <c r="G50" s="20">
        <f>'Model inputs'!G75-'Model inputs'!G93</f>
        <v>1480</v>
      </c>
      <c r="H50" s="20">
        <f>'Model inputs'!H75-'Model inputs'!H93</f>
        <v>2014</v>
      </c>
      <c r="I50" s="20">
        <f>'Model inputs'!I75-'Model inputs'!I93</f>
        <v>2548</v>
      </c>
      <c r="J50" s="20">
        <f>'Model inputs'!J75-'Model inputs'!J93</f>
        <v>3082</v>
      </c>
      <c r="K50" s="20">
        <f>'Model inputs'!K75-'Model inputs'!K93</f>
        <v>3260</v>
      </c>
      <c r="L50" s="20">
        <f>'Model inputs'!L75-'Model inputs'!L93</f>
        <v>3260</v>
      </c>
      <c r="M50" s="20">
        <f>'Model inputs'!M75-'Model inputs'!M93</f>
        <v>3260</v>
      </c>
      <c r="N50" s="20">
        <f>'Model inputs'!N75-'Model inputs'!N93</f>
        <v>3260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f>'Model inputs'!X75-'Model inputs'!X93</f>
        <v>-300</v>
      </c>
      <c r="Y50" s="20">
        <f>'Model inputs'!Y75-'Model inputs'!Y93</f>
        <v>-300</v>
      </c>
    </row>
    <row r="51">
      <c r="A51" t="inlineStr" s="28">
        <is>
          <t xml:space="preserve">Entrega mensal — projeção Base (EUR) · DisruptRadar — Projeção mensal · Projeção mensal Base — clientes, resultado e caixa · Base</t>
        </is>
      </c>
      <c r="B51" s="20">
        <f>'Model inputs'!B16*'Model inputs'!Z35*'Model inputs'!Z25</f>
        <v>0</v>
      </c>
      <c r="C51" s="20">
        <f>'Model inputs'!C16*'Model inputs'!Z35*'Model inputs'!Z25</f>
        <v>30</v>
      </c>
      <c r="D51" s="20">
        <f>'Model inputs'!D16*'Model inputs'!Z35*'Model inputs'!Z25</f>
        <v>120</v>
      </c>
      <c r="E51" s="20">
        <f>'Model inputs'!E16*'Model inputs'!Z35*'Model inputs'!Z25</f>
        <v>270</v>
      </c>
      <c r="F51" s="20">
        <f>'Model inputs'!F16*'Model inputs'!Z35*'Model inputs'!Z25</f>
        <v>420</v>
      </c>
      <c r="G51" s="20">
        <f>'Model inputs'!G16*'Model inputs'!Z35*'Model inputs'!Z25</f>
        <v>600</v>
      </c>
      <c r="H51" s="20">
        <f>'Model inputs'!H16*'Model inputs'!Z35*'Model inputs'!Z25</f>
        <v>780</v>
      </c>
      <c r="I51" s="20">
        <f>'Model inputs'!I16*'Model inputs'!Z35*'Model inputs'!Z25</f>
        <v>960</v>
      </c>
      <c r="J51" s="20">
        <f>'Model inputs'!J16*'Model inputs'!Z35*'Model inputs'!Z25</f>
        <v>1140</v>
      </c>
      <c r="K51" s="20">
        <f>'Model inputs'!K16*'Model inputs'!Z35*'Model inputs'!Z25</f>
        <v>1200</v>
      </c>
      <c r="L51" s="20">
        <f>'Model inputs'!L16*'Model inputs'!Z35*'Model inputs'!Z25</f>
        <v>1200</v>
      </c>
      <c r="M51" s="20">
        <f>'Model inputs'!M16*'Model inputs'!Z35*'Model inputs'!Z25</f>
        <v>1200</v>
      </c>
      <c r="N51" s="20">
        <f>'Model inputs'!N16*'Model inputs'!Z35*'Model inputs'!Z25</f>
        <v>1200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f>'Model inputs'!X16*'Model inputs'!Z35*'Model inputs'!Z25</f>
        <v>0</v>
      </c>
      <c r="Y51" s="20">
        <f>'Model inputs'!Y16*'Model inputs'!Z35*'Model inputs'!Z25</f>
        <v>0</v>
      </c>
    </row>
    <row r="52">
      <c r="A52" t="inlineStr" s="28">
        <is>
          <t xml:space="preserve">Entrega mensal — projeção Base (EUR) · Teste Pro 109 € — fixos 500 €/mês</t>
        </is>
      </c>
      <c r="B52" s="20">
        <f>'Model inputs'!B17*'Model inputs'!Z37*'Model inputs'!Z27</f>
        <v>0</v>
      </c>
      <c r="C52" s="20">
        <f>'Model inputs'!C17*'Model inputs'!Z37*'Model inputs'!Z27</f>
        <v>30</v>
      </c>
      <c r="D52" s="20">
        <f>'Model inputs'!D17*'Model inputs'!Z37*'Model inputs'!Z27</f>
        <v>120</v>
      </c>
      <c r="E52" s="20">
        <f>'Model inputs'!E17*'Model inputs'!Z37*'Model inputs'!Z27</f>
        <v>270</v>
      </c>
      <c r="F52" s="20">
        <f>'Model inputs'!F17*'Model inputs'!Z37*'Model inputs'!Z27</f>
        <v>420</v>
      </c>
      <c r="G52" s="20">
        <f>'Model inputs'!G17*'Model inputs'!Z37*'Model inputs'!Z27</f>
        <v>600</v>
      </c>
      <c r="H52" s="20">
        <f>'Model inputs'!H17*'Model inputs'!Z37*'Model inputs'!Z27</f>
        <v>780</v>
      </c>
      <c r="I52" s="20">
        <f>'Model inputs'!I17*'Model inputs'!Z37*'Model inputs'!Z27</f>
        <v>960</v>
      </c>
      <c r="J52" s="20">
        <f>'Model inputs'!J17*'Model inputs'!Z37*'Model inputs'!Z27</f>
        <v>1140</v>
      </c>
      <c r="K52" s="20">
        <f>'Model inputs'!K17*'Model inputs'!Z37*'Model inputs'!Z27</f>
        <v>1200</v>
      </c>
      <c r="L52" s="20">
        <f>'Model inputs'!L17*'Model inputs'!Z37*'Model inputs'!Z27</f>
        <v>1200</v>
      </c>
      <c r="M52" s="20">
        <f>'Model inputs'!M17*'Model inputs'!Z37*'Model inputs'!Z27</f>
        <v>1200</v>
      </c>
      <c r="N52" s="20">
        <f>'Model inputs'!N17*'Model inputs'!Z37*'Model inputs'!Z27</f>
        <v>1200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f>'Model inputs'!X17*'Model inputs'!Z37*'Model inputs'!Z27</f>
        <v>0</v>
      </c>
      <c r="Y52" s="20">
        <f>'Model inputs'!Y17*'Model inputs'!Z37*'Model inputs'!Z27</f>
        <v>0</v>
      </c>
    </row>
    <row r="53">
      <c r="A53" t="inlineStr" s="28">
        <is>
          <t xml:space="preserve">Entrega mensal — projeção Base (EUR) · Base — fixos 400 €/mês</t>
        </is>
      </c>
      <c r="B53" s="20">
        <f>'Model inputs'!B18*'Model inputs'!AA95*'Model inputs'!AA81</f>
        <v>0</v>
      </c>
      <c r="C53" s="20">
        <f>'Model inputs'!C18*'Model inputs'!AA95*'Model inputs'!AA81</f>
        <v>30</v>
      </c>
      <c r="D53" s="20">
        <f>'Model inputs'!D18*'Model inputs'!AA95*'Model inputs'!AA81</f>
        <v>120</v>
      </c>
      <c r="E53" s="20">
        <f>'Model inputs'!E18*'Model inputs'!AA95*'Model inputs'!AA81</f>
        <v>270</v>
      </c>
      <c r="F53" s="20">
        <f>'Model inputs'!F18*'Model inputs'!AA95*'Model inputs'!AA81</f>
        <v>420</v>
      </c>
      <c r="G53" s="20">
        <f>'Model inputs'!G18*'Model inputs'!AA95*'Model inputs'!AA81</f>
        <v>600</v>
      </c>
      <c r="H53" s="20">
        <f>'Model inputs'!H18*'Model inputs'!AA95*'Model inputs'!AA81</f>
        <v>780</v>
      </c>
      <c r="I53" s="20">
        <f>'Model inputs'!I18*'Model inputs'!AA95*'Model inputs'!AA81</f>
        <v>960</v>
      </c>
      <c r="J53" s="20">
        <f>'Model inputs'!J18*'Model inputs'!AA95*'Model inputs'!AA81</f>
        <v>1140</v>
      </c>
      <c r="K53" s="20">
        <f>'Model inputs'!K18*'Model inputs'!AA95*'Model inputs'!AA81</f>
        <v>1200</v>
      </c>
      <c r="L53" s="20">
        <f>'Model inputs'!L18*'Model inputs'!AA95*'Model inputs'!AA81</f>
        <v>1200</v>
      </c>
      <c r="M53" s="20">
        <f>'Model inputs'!M18*'Model inputs'!AA95*'Model inputs'!AA81</f>
        <v>1200</v>
      </c>
      <c r="N53" s="20">
        <f>'Model inputs'!N18*'Model inputs'!AA95*'Model inputs'!AA81</f>
        <v>1200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f>'Model inputs'!X18*'Model inputs'!AA95*'Model inputs'!AA81</f>
        <v>0</v>
      </c>
      <c r="Y53" s="20">
        <f>'Model inputs'!Y18*'Model inputs'!AA95*'Model inputs'!AA81</f>
        <v>0</v>
      </c>
    </row>
    <row r="54">
      <c r="A54" t="inlineStr" s="28">
        <is>
          <t xml:space="preserve">Entrega mensal — projeção Base (EUR) · Teste Pro 109 € — fixos 400 €/mês</t>
        </is>
      </c>
      <c r="B54" s="20">
        <f>'Model inputs'!B19*'Model inputs'!AA96*'Model inputs'!AA82</f>
        <v>0</v>
      </c>
      <c r="C54" s="20">
        <f>'Model inputs'!C19*'Model inputs'!AA96*'Model inputs'!AA82</f>
        <v>30</v>
      </c>
      <c r="D54" s="20">
        <f>'Model inputs'!D19*'Model inputs'!AA96*'Model inputs'!AA82</f>
        <v>120</v>
      </c>
      <c r="E54" s="20">
        <f>'Model inputs'!E19*'Model inputs'!AA96*'Model inputs'!AA82</f>
        <v>270</v>
      </c>
      <c r="F54" s="20">
        <f>'Model inputs'!F19*'Model inputs'!AA96*'Model inputs'!AA82</f>
        <v>420</v>
      </c>
      <c r="G54" s="20">
        <f>'Model inputs'!G19*'Model inputs'!AA96*'Model inputs'!AA82</f>
        <v>600</v>
      </c>
      <c r="H54" s="20">
        <f>'Model inputs'!H19*'Model inputs'!AA96*'Model inputs'!AA82</f>
        <v>780</v>
      </c>
      <c r="I54" s="20">
        <f>'Model inputs'!I19*'Model inputs'!AA96*'Model inputs'!AA82</f>
        <v>960</v>
      </c>
      <c r="J54" s="20">
        <f>'Model inputs'!J19*'Model inputs'!AA96*'Model inputs'!AA82</f>
        <v>1140</v>
      </c>
      <c r="K54" s="20">
        <f>'Model inputs'!K19*'Model inputs'!AA96*'Model inputs'!AA82</f>
        <v>1200</v>
      </c>
      <c r="L54" s="20">
        <f>'Model inputs'!L19*'Model inputs'!AA96*'Model inputs'!AA82</f>
        <v>1200</v>
      </c>
      <c r="M54" s="20">
        <f>'Model inputs'!M19*'Model inputs'!AA96*'Model inputs'!AA82</f>
        <v>1200</v>
      </c>
      <c r="N54" s="20">
        <f>'Model inputs'!N19*'Model inputs'!AA96*'Model inputs'!AA82</f>
        <v>1200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f>'Model inputs'!X19*'Model inputs'!AA96*'Model inputs'!AA82</f>
        <v>0</v>
      </c>
      <c r="Y54" s="20">
        <f>'Model inputs'!Y19*'Model inputs'!AA96*'Model inputs'!AA82</f>
        <v>0</v>
      </c>
    </row>
    <row r="55">
      <c r="A55" t="inlineStr" s="28">
        <is>
          <t xml:space="preserve">Entrega mensal — projeção Base (EUR) · Base — fixos 300 €/mês</t>
        </is>
      </c>
      <c r="B55" s="20">
        <f>'Model inputs'!B20*'Model inputs'!AA97*'Model inputs'!AA83</f>
        <v>0</v>
      </c>
      <c r="C55" s="20">
        <f>'Model inputs'!C20*'Model inputs'!AA97*'Model inputs'!AA83</f>
        <v>30</v>
      </c>
      <c r="D55" s="20">
        <f>'Model inputs'!D20*'Model inputs'!AA97*'Model inputs'!AA83</f>
        <v>120</v>
      </c>
      <c r="E55" s="20">
        <f>'Model inputs'!E20*'Model inputs'!AA97*'Model inputs'!AA83</f>
        <v>270</v>
      </c>
      <c r="F55" s="20">
        <f>'Model inputs'!F20*'Model inputs'!AA97*'Model inputs'!AA83</f>
        <v>420</v>
      </c>
      <c r="G55" s="20">
        <f>'Model inputs'!G20*'Model inputs'!AA97*'Model inputs'!AA83</f>
        <v>600</v>
      </c>
      <c r="H55" s="20">
        <f>'Model inputs'!H20*'Model inputs'!AA97*'Model inputs'!AA83</f>
        <v>780</v>
      </c>
      <c r="I55" s="20">
        <f>'Model inputs'!I20*'Model inputs'!AA97*'Model inputs'!AA83</f>
        <v>960</v>
      </c>
      <c r="J55" s="20">
        <f>'Model inputs'!J20*'Model inputs'!AA97*'Model inputs'!AA83</f>
        <v>1140</v>
      </c>
      <c r="K55" s="20">
        <f>'Model inputs'!K20*'Model inputs'!AA97*'Model inputs'!AA83</f>
        <v>1200</v>
      </c>
      <c r="L55" s="20">
        <f>'Model inputs'!L20*'Model inputs'!AA97*'Model inputs'!AA83</f>
        <v>1200</v>
      </c>
      <c r="M55" s="20">
        <f>'Model inputs'!M20*'Model inputs'!AA97*'Model inputs'!AA83</f>
        <v>1200</v>
      </c>
      <c r="N55" s="20">
        <f>'Model inputs'!N20*'Model inputs'!AA97*'Model inputs'!AA83</f>
        <v>1200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f>'Model inputs'!X20*'Model inputs'!AA97*'Model inputs'!AA83</f>
        <v>0</v>
      </c>
      <c r="Y55" s="20">
        <f>'Model inputs'!Y20*'Model inputs'!AA97*'Model inputs'!AA83</f>
        <v>0</v>
      </c>
    </row>
    <row r="56">
      <c r="A56" t="inlineStr" s="28">
        <is>
          <t xml:space="preserve">Entrega mensal — projeção Base (EUR) · Teste Pro 119 € — fixos 500 €/mês</t>
        </is>
      </c>
      <c r="B56" s="20">
        <f>'Model inputs'!B21*'Model inputs'!Z40*'Model inputs'!Z30</f>
        <v>0</v>
      </c>
      <c r="C56" s="20">
        <f>'Model inputs'!C21*'Model inputs'!Z40*'Model inputs'!Z30</f>
        <v>30</v>
      </c>
      <c r="D56" s="20">
        <f>'Model inputs'!D21*'Model inputs'!Z40*'Model inputs'!Z30</f>
        <v>120</v>
      </c>
      <c r="E56" s="20">
        <f>'Model inputs'!E21*'Model inputs'!Z40*'Model inputs'!Z30</f>
        <v>270</v>
      </c>
      <c r="F56" s="20">
        <f>'Model inputs'!F21*'Model inputs'!Z40*'Model inputs'!Z30</f>
        <v>420</v>
      </c>
      <c r="G56" s="20">
        <f>'Model inputs'!G21*'Model inputs'!Z40*'Model inputs'!Z30</f>
        <v>600</v>
      </c>
      <c r="H56" s="20">
        <f>'Model inputs'!H21*'Model inputs'!Z40*'Model inputs'!Z30</f>
        <v>780</v>
      </c>
      <c r="I56" s="20">
        <f>'Model inputs'!I21*'Model inputs'!Z40*'Model inputs'!Z30</f>
        <v>960</v>
      </c>
      <c r="J56" s="20">
        <f>'Model inputs'!J21*'Model inputs'!Z40*'Model inputs'!Z30</f>
        <v>1140</v>
      </c>
      <c r="K56" s="20">
        <f>'Model inputs'!K21*'Model inputs'!Z40*'Model inputs'!Z30</f>
        <v>1200</v>
      </c>
      <c r="L56" s="20">
        <f>'Model inputs'!L21*'Model inputs'!Z40*'Model inputs'!Z30</f>
        <v>1200</v>
      </c>
      <c r="M56" s="20">
        <f>'Model inputs'!M21*'Model inputs'!Z40*'Model inputs'!Z30</f>
        <v>1200</v>
      </c>
      <c r="N56" s="20">
        <f>'Model inputs'!N21*'Model inputs'!Z40*'Model inputs'!Z30</f>
        <v>1200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f>'Model inputs'!X21*'Model inputs'!Z40*'Model inputs'!Z30</f>
        <v>0</v>
      </c>
      <c r="Y56" s="20">
        <f>'Model inputs'!Y21*'Model inputs'!Z40*'Model inputs'!Z30</f>
        <v>0</v>
      </c>
    </row>
    <row r="57">
      <c r="A57" t="inlineStr" s="28">
        <is>
          <t xml:space="preserve">Entrega mensal — projeção Base (EUR) · Teste Pro 119 € — fixos 400 €/mês</t>
        </is>
      </c>
      <c r="B57" s="20">
        <f>'Model inputs'!B22*'Model inputs'!AA99*'Model inputs'!AA85</f>
        <v>0</v>
      </c>
      <c r="C57" s="20">
        <f>'Model inputs'!C22*'Model inputs'!AA99*'Model inputs'!AA85</f>
        <v>30</v>
      </c>
      <c r="D57" s="20">
        <f>'Model inputs'!D22*'Model inputs'!AA99*'Model inputs'!AA85</f>
        <v>120</v>
      </c>
      <c r="E57" s="20">
        <f>'Model inputs'!E22*'Model inputs'!AA99*'Model inputs'!AA85</f>
        <v>270</v>
      </c>
      <c r="F57" s="20">
        <f>'Model inputs'!F22*'Model inputs'!AA99*'Model inputs'!AA85</f>
        <v>420</v>
      </c>
      <c r="G57" s="20">
        <f>'Model inputs'!G22*'Model inputs'!AA99*'Model inputs'!AA85</f>
        <v>600</v>
      </c>
      <c r="H57" s="20">
        <f>'Model inputs'!H22*'Model inputs'!AA99*'Model inputs'!AA85</f>
        <v>780</v>
      </c>
      <c r="I57" s="20">
        <f>'Model inputs'!I22*'Model inputs'!AA99*'Model inputs'!AA85</f>
        <v>960</v>
      </c>
      <c r="J57" s="20">
        <f>'Model inputs'!J22*'Model inputs'!AA99*'Model inputs'!AA85</f>
        <v>1140</v>
      </c>
      <c r="K57" s="20">
        <f>'Model inputs'!K22*'Model inputs'!AA99*'Model inputs'!AA85</f>
        <v>1200</v>
      </c>
      <c r="L57" s="20">
        <f>'Model inputs'!L22*'Model inputs'!AA99*'Model inputs'!AA85</f>
        <v>1200</v>
      </c>
      <c r="M57" s="20">
        <f>'Model inputs'!M22*'Model inputs'!AA99*'Model inputs'!AA85</f>
        <v>1200</v>
      </c>
      <c r="N57" s="20">
        <f>'Model inputs'!N22*'Model inputs'!AA99*'Model inputs'!AA85</f>
        <v>1200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f>'Model inputs'!X22*'Model inputs'!AA99*'Model inputs'!AA85</f>
        <v>0</v>
      </c>
      <c r="Y57" s="20">
        <f>'Model inputs'!Y22*'Model inputs'!AA99*'Model inputs'!AA85</f>
        <v>0</v>
      </c>
    </row>
    <row r="58">
      <c r="A58" t="inlineStr" s="28">
        <is>
          <t xml:space="preserve">Entrega mensal — projeção Base (EUR) · Teste Pro 109 € — fixos 300 €/mês</t>
        </is>
      </c>
      <c r="B58" s="20">
        <f>'Model inputs'!B23*'Model inputs'!AA100*'Model inputs'!AA86</f>
        <v>0</v>
      </c>
      <c r="C58" s="20">
        <f>'Model inputs'!C23*'Model inputs'!AA100*'Model inputs'!AA86</f>
        <v>30</v>
      </c>
      <c r="D58" s="20">
        <f>'Model inputs'!D23*'Model inputs'!AA100*'Model inputs'!AA86</f>
        <v>120</v>
      </c>
      <c r="E58" s="20">
        <f>'Model inputs'!E23*'Model inputs'!AA100*'Model inputs'!AA86</f>
        <v>270</v>
      </c>
      <c r="F58" s="20">
        <f>'Model inputs'!F23*'Model inputs'!AA100*'Model inputs'!AA86</f>
        <v>420</v>
      </c>
      <c r="G58" s="20">
        <f>'Model inputs'!G23*'Model inputs'!AA100*'Model inputs'!AA86</f>
        <v>600</v>
      </c>
      <c r="H58" s="20">
        <f>'Model inputs'!H23*'Model inputs'!AA100*'Model inputs'!AA86</f>
        <v>780</v>
      </c>
      <c r="I58" s="20">
        <f>'Model inputs'!I23*'Model inputs'!AA100*'Model inputs'!AA86</f>
        <v>960</v>
      </c>
      <c r="J58" s="20">
        <f>'Model inputs'!J23*'Model inputs'!AA100*'Model inputs'!AA86</f>
        <v>1140</v>
      </c>
      <c r="K58" s="20">
        <f>'Model inputs'!K23*'Model inputs'!AA100*'Model inputs'!AA86</f>
        <v>1200</v>
      </c>
      <c r="L58" s="20">
        <f>'Model inputs'!L23*'Model inputs'!AA100*'Model inputs'!AA86</f>
        <v>1200</v>
      </c>
      <c r="M58" s="20">
        <f>'Model inputs'!M23*'Model inputs'!AA100*'Model inputs'!AA86</f>
        <v>1200</v>
      </c>
      <c r="N58" s="20">
        <f>'Model inputs'!N23*'Model inputs'!AA100*'Model inputs'!AA86</f>
        <v>1200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f>'Model inputs'!X23*'Model inputs'!AA100*'Model inputs'!AA86</f>
        <v>0</v>
      </c>
      <c r="Y58" s="20">
        <f>'Model inputs'!Y23*'Model inputs'!AA100*'Model inputs'!AA86</f>
        <v>0</v>
      </c>
    </row>
    <row r="59">
      <c r="A59" t="inlineStr" s="28">
        <is>
          <t xml:space="preserve">Entrega mensal — projeção Base (EUR) · Teste Pro 119 € — fixos 300 €/mês</t>
        </is>
      </c>
      <c r="B59" s="20">
        <f>'Model inputs'!B24*'Model inputs'!AA101*'Model inputs'!AA87</f>
        <v>0</v>
      </c>
      <c r="C59" s="20">
        <f>'Model inputs'!C24*'Model inputs'!AA101*'Model inputs'!AA87</f>
        <v>30</v>
      </c>
      <c r="D59" s="20">
        <f>'Model inputs'!D24*'Model inputs'!AA101*'Model inputs'!AA87</f>
        <v>120</v>
      </c>
      <c r="E59" s="20">
        <f>'Model inputs'!E24*'Model inputs'!AA101*'Model inputs'!AA87</f>
        <v>270</v>
      </c>
      <c r="F59" s="20">
        <f>'Model inputs'!F24*'Model inputs'!AA101*'Model inputs'!AA87</f>
        <v>420</v>
      </c>
      <c r="G59" s="20">
        <f>'Model inputs'!G24*'Model inputs'!AA101*'Model inputs'!AA87</f>
        <v>600</v>
      </c>
      <c r="H59" s="20">
        <f>'Model inputs'!H24*'Model inputs'!AA101*'Model inputs'!AA87</f>
        <v>780</v>
      </c>
      <c r="I59" s="20">
        <f>'Model inputs'!I24*'Model inputs'!AA101*'Model inputs'!AA87</f>
        <v>960</v>
      </c>
      <c r="J59" s="20">
        <f>'Model inputs'!J24*'Model inputs'!AA101*'Model inputs'!AA87</f>
        <v>1140</v>
      </c>
      <c r="K59" s="20">
        <f>'Model inputs'!K24*'Model inputs'!AA101*'Model inputs'!AA87</f>
        <v>1200</v>
      </c>
      <c r="L59" s="20">
        <f>'Model inputs'!L24*'Model inputs'!AA101*'Model inputs'!AA87</f>
        <v>1200</v>
      </c>
      <c r="M59" s="20">
        <f>'Model inputs'!M24*'Model inputs'!AA101*'Model inputs'!AA87</f>
        <v>1200</v>
      </c>
      <c r="N59" s="20">
        <f>'Model inputs'!N24*'Model inputs'!AA101*'Model inputs'!AA87</f>
        <v>1200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f>'Model inputs'!X24*'Model inputs'!AA101*'Model inputs'!AA87</f>
        <v>0</v>
      </c>
      <c r="Y59" s="20">
        <f>'Model inputs'!Y24*'Model inputs'!AA101*'Model inputs'!AA87</f>
        <v>0</v>
      </c>
    </row>
    <row r="60">
      <c r="A60" t="inlineStr" s="28">
        <is>
          <t xml:space="preserve">Fixos anuais da projeção Base (EUR) · DisruptRadar — Projeção mensal · Projeção mensal Base — clientes, resultado e caixa</t>
        </is>
      </c>
      <c r="AA60" s="9">
        <f>'DisruptRadar — Projeção mensal'!B5</f>
        <v>6000</v>
      </c>
    </row>
    <row r="61">
      <c r="A61" t="inlineStr" s="28">
        <is>
          <t xml:space="preserve">Fixos anuais da projeção Base (EUR) · DisruptRadar — Projeção mensal · Reconciliação anual Base com a matriz</t>
        </is>
      </c>
      <c r="Z61" s="9">
        <f>'DisruptRadar — Projeção mensal'!B5</f>
        <v>6000</v>
      </c>
    </row>
    <row r="62">
      <c r="A62" t="inlineStr" s="28">
        <is>
          <t xml:space="preserve">Fixos mensais — projeção Base (EUR) · DisruptRadar — Projeção mensal · Projeção mensal Base — clientes, resultado e caixa</t>
        </is>
      </c>
      <c r="B62" s="20">
        <f>'Model inputs'!AA60/12</f>
        <v>500</v>
      </c>
      <c r="C62" s="20">
        <f>'Model inputs'!AA60/12</f>
        <v>500</v>
      </c>
      <c r="D62" s="20">
        <f>'Model inputs'!AA60/12</f>
        <v>500</v>
      </c>
      <c r="E62" s="20">
        <f>'Model inputs'!AA60/12</f>
        <v>500</v>
      </c>
      <c r="F62" s="20">
        <f>'Model inputs'!AA60/12</f>
        <v>500</v>
      </c>
      <c r="G62" s="20">
        <f>'Model inputs'!AA60/12</f>
        <v>500</v>
      </c>
      <c r="H62" s="20">
        <f>'Model inputs'!AA60/12</f>
        <v>500</v>
      </c>
      <c r="I62" s="20">
        <f>'Model inputs'!AA60/12</f>
        <v>500</v>
      </c>
      <c r="J62" s="20">
        <f>'Model inputs'!AA60/12</f>
        <v>500</v>
      </c>
      <c r="K62" s="20">
        <f>'Model inputs'!AA60/12</f>
        <v>500</v>
      </c>
      <c r="L62" s="20">
        <f>'Model inputs'!AA60/12</f>
        <v>500</v>
      </c>
      <c r="M62" s="20">
        <f>'Model inputs'!AA60/12</f>
        <v>500</v>
      </c>
      <c r="N62" s="20">
        <f>'Model inputs'!AA60/12</f>
        <v>500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f>'Model inputs'!AA60/12</f>
        <v>500</v>
      </c>
      <c r="Y62" s="20">
        <f>'Model inputs'!AA60/12</f>
        <v>500</v>
      </c>
    </row>
    <row r="63">
      <c r="A63" t="inlineStr" s="28">
        <is>
          <t xml:space="preserve">Início da projeção Base · DisruptRadar — Projeção mensal · Projeção mensal Base — clientes, resultado e caixa</t>
        </is>
      </c>
      <c r="AA63" s="17">
        <f>DATE(2027,1,1)</f>
        <v>46388</v>
      </c>
    </row>
    <row r="64">
      <c r="A64" t="inlineStr" s="28">
        <is>
          <t xml:space="preserve">Movimento de caixa acumulado — projeção Base (EUR)</t>
        </is>
      </c>
      <c r="B64" s="20">
        <f>IF(IF(IF(IF(ISERROR(DATE(2026,12,1)=DATE(YEAR('Model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inputs'!AA63),1)))),0,IF('Model inputs'!Y64="","",'Model inputs'!Y64))="",0,IF(IF(IF(ISERROR(DATE(2026,12,1)=DATE(YEAR('Model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inputs'!AA63),1)))),0,IF('Model inputs'!Y64="","",'Model inputs'!Y64)))+'Model inputs'!B41</f>
        <v>-1500</v>
      </c>
      <c r="C64" s="20">
        <f>IF(IF(IF(IF(ISERROR(DATE(2027,1,1)=DATE(YEAR('Model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inputs'!AA63),1)))),0,IF('Model inputs'!B64="","",'Model inputs'!B64))="",0,IF(IF(IF(ISERROR(DATE(2027,1,1)=DATE(YEAR('Model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inputs'!AA63),1)))),0,IF('Model inputs'!B64="","",'Model inputs'!B64)))+'Model inputs'!C41</f>
        <v>-431</v>
      </c>
      <c r="D64" s="20">
        <f>IF(IF(IF(IF(ISERROR(DATE(2027,2,1)=DATE(YEAR('Model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inputs'!AA63),1)))),0,IF('Model inputs'!C64="","",'Model inputs'!C64))="",0,IF(IF(IF(ISERROR(DATE(2027,2,1)=DATE(YEAR('Model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inputs'!AA63),1)))),0,IF('Model inputs'!C64="","",'Model inputs'!C64)))+'Model inputs'!D41</f>
        <v>-655</v>
      </c>
      <c r="E64" s="20">
        <f>IF(IF(IF(IF(ISERROR(DATE(2027,3,1)=DATE(YEAR('Model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inputs'!AA63),1)))),0,IF('Model inputs'!D64="","",'Model inputs'!D64))="",0,IF(IF(IF(ISERROR(DATE(2027,3,1)=DATE(YEAR('Model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inputs'!AA63),1)))),0,IF('Model inputs'!D64="","",'Model inputs'!D64)))+'Model inputs'!E41</f>
        <v>-534</v>
      </c>
      <c r="F64" s="20">
        <f>IF(IF(IF(IF(ISERROR(DATE(2027,4,1)=DATE(YEAR('Model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inputs'!AA63),1)))),0,IF('Model inputs'!E64="","",'Model inputs'!E64))="",0,IF(IF(IF(ISERROR(DATE(2027,4,1)=DATE(YEAR('Model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inputs'!AA63),1)))),0,IF('Model inputs'!E64="","",'Model inputs'!E64)))+'Model inputs'!F41</f>
        <v>-68</v>
      </c>
      <c r="G64" s="20">
        <f>IF(IF(IF(IF(ISERROR(DATE(2027,5,1)=DATE(YEAR('Model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inputs'!AA63),1)))),0,IF('Model inputs'!F64="","",'Model inputs'!F64))="",0,IF(IF(IF(ISERROR(DATE(2027,5,1)=DATE(YEAR('Model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inputs'!AA63),1)))),0,IF('Model inputs'!F64="","",'Model inputs'!F64)))+'Model inputs'!G41</f>
        <v>812</v>
      </c>
      <c r="H64" s="20">
        <f>IF(IF(IF(IF(ISERROR(DATE(2027,6,1)=DATE(YEAR('Model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inputs'!AA63),1)))),0,IF('Model inputs'!G64="","",'Model inputs'!G64))="",0,IF(IF(IF(ISERROR(DATE(2027,6,1)=DATE(YEAR('Model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inputs'!AA63),1)))),0,IF('Model inputs'!G64="","",'Model inputs'!G64)))+'Model inputs'!H41</f>
        <v>2106</v>
      </c>
      <c r="I64" s="20">
        <f>IF(IF(IF(IF(ISERROR(DATE(2027,7,1)=DATE(YEAR('Model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inputs'!AA63),1)))),0,IF('Model inputs'!H64="","",'Model inputs'!H64))="",0,IF(IF(IF(ISERROR(DATE(2027,7,1)=DATE(YEAR('Model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inputs'!AA63),1)))),0,IF('Model inputs'!H64="","",'Model inputs'!H64)))+'Model inputs'!I41</f>
        <v>3814</v>
      </c>
      <c r="J64" s="20">
        <f>IF(IF(IF(IF(ISERROR(DATE(2027,8,1)=DATE(YEAR('Model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inputs'!AA63),1)))),0,IF('Model inputs'!I64="","",'Model inputs'!I64))="",0,IF(IF(IF(ISERROR(DATE(2027,8,1)=DATE(YEAR('Model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inputs'!AA63),1)))),0,IF('Model inputs'!I64="","",'Model inputs'!I64)))+'Model inputs'!J41</f>
        <v>5936</v>
      </c>
      <c r="K64" s="20">
        <f>IF(IF(IF(IF(ISERROR(DATE(2027,9,1)=DATE(YEAR('Model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inputs'!AA63),1)))),0,IF('Model inputs'!J64="","",'Model inputs'!J64))="",0,IF(IF(IF(ISERROR(DATE(2027,9,1)=DATE(YEAR('Model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inputs'!AA63),1)))),0,IF('Model inputs'!J64="","",'Model inputs'!J64)))+'Model inputs'!K41</f>
        <v>8196</v>
      </c>
      <c r="L64" s="20">
        <f>IF(IF(IF(IF(ISERROR(DATE(2027,10,1)=DATE(YEAR('Model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inputs'!AA63),1)))),0,IF('Model inputs'!K64="","",'Model inputs'!K64))="",0,IF(IF(IF(ISERROR(DATE(2027,10,1)=DATE(YEAR('Model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inputs'!AA63),1)))),0,IF('Model inputs'!K64="","",'Model inputs'!K64)))+'Model inputs'!L41</f>
        <v>10456</v>
      </c>
      <c r="M64" s="20">
        <f>IF(IF(IF(IF(ISERROR(DATE(2027,11,1)=DATE(YEAR('Model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inputs'!AA63),1)))),0,IF('Model inputs'!L64="","",'Model inputs'!L64))="",0,IF(IF(IF(ISERROR(DATE(2027,11,1)=DATE(YEAR('Model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inputs'!AA63),1)))),0,IF('Model inputs'!L64="","",'Model inputs'!L64)))+'Model inputs'!M41</f>
        <v>12716</v>
      </c>
      <c r="N64" s="20">
        <f>IF(IF(IF(IF(ISERROR(DATE(2027,12,1)=DATE(YEAR('Model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inputs'!AA63),1)))),0,IF('Model inputs'!M64="","",'Model inputs'!M64))="",0,IF(IF(IF(ISERROR(DATE(2027,12,1)=DATE(YEAR('Model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inputs'!AA63),1)))),0,IF('Model inputs'!M64="","",'Model inputs'!M64)))+'Model inputs'!N41</f>
        <v>14976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f>IF(IF(IF(IF(ISERROR(DATE(2026,10,1)=DATE(YEAR('Model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inputs'!AA63),1)))),0,IF('Model inputs'!W64="","",'Model inputs'!W64))="",0,IF(IF(IF(ISERROR(DATE(2026,10,1)=DATE(YEAR('Model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inputs'!AA63),1)))),0,IF('Model inputs'!W64="","",'Model inputs'!W64)))+'Model inputs'!X41</f>
        <v>-500</v>
      </c>
      <c r="Y64" s="20">
        <f>IF(IF(IF(IF(ISERROR(DATE(2026,11,1)=DATE(YEAR('Model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inputs'!AA63),1)))),0,IF('Model inputs'!X64="","",'Model inputs'!X64))="",0,IF(IF(IF(ISERROR(DATE(2026,11,1)=DATE(YEAR('Model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inputs'!AA63),1)))),0,IF('Model inputs'!X64="","",'Model inputs'!X64)))+'Model inputs'!Y41</f>
        <v>-1000</v>
      </c>
    </row>
    <row r="65">
      <c r="A65" t="inlineStr" s="28">
        <is>
          <t xml:space="preserve">Preço mensal Pro (EUR) · DisruptRadar Business Plan · Premissas DisruptRadar — Ano 1</t>
        </is>
      </c>
      <c r="Z65" s="9">
        <f>99</f>
        <v>99</v>
      </c>
    </row>
    <row r="66">
      <c r="A66" t="inlineStr" s="28">
        <is>
          <t xml:space="preserve">Preço mensal Pro (EUR) · DisruptRadar — Projeção mensal · Projeção mensal Base — clientes, resultado e caixa</t>
        </is>
      </c>
      <c r="AA66" s="9">
        <f>99</f>
        <v>99</v>
      </c>
    </row>
    <row r="67">
      <c r="A67" t="inlineStr" s="28">
        <is>
          <t xml:space="preserve">Receita mensal — projeção Base (EUR) · DisruptRadar — Projeção mensal · Projeção mensal Base — clientes, resultado e caixa · Base</t>
        </is>
      </c>
      <c r="B67" s="20">
        <f>'Model inputs'!B16*'Model inputs'!Z65</f>
        <v>0</v>
      </c>
      <c r="C67" s="20">
        <f>'Model inputs'!C16*'Model inputs'!Z65</f>
        <v>99</v>
      </c>
      <c r="D67" s="20">
        <f>'Model inputs'!D16*'Model inputs'!Z65</f>
        <v>396</v>
      </c>
      <c r="E67" s="20">
        <f>'Model inputs'!E16*'Model inputs'!Z65</f>
        <v>891</v>
      </c>
      <c r="F67" s="20">
        <f>'Model inputs'!F16*'Model inputs'!Z65</f>
        <v>1386</v>
      </c>
      <c r="G67" s="20">
        <f>'Model inputs'!G16*'Model inputs'!Z65</f>
        <v>1980</v>
      </c>
      <c r="H67" s="20">
        <f>'Model inputs'!H16*'Model inputs'!Z65</f>
        <v>2574</v>
      </c>
      <c r="I67" s="20">
        <f>'Model inputs'!I16*'Model inputs'!Z65</f>
        <v>3168</v>
      </c>
      <c r="J67" s="20">
        <f>'Model inputs'!J16*'Model inputs'!Z65</f>
        <v>3762</v>
      </c>
      <c r="K67" s="20">
        <f>'Model inputs'!K16*'Model inputs'!Z65</f>
        <v>3960</v>
      </c>
      <c r="L67" s="20">
        <f>'Model inputs'!L16*'Model inputs'!Z65</f>
        <v>3960</v>
      </c>
      <c r="M67" s="20">
        <f>'Model inputs'!M16*'Model inputs'!Z65</f>
        <v>3960</v>
      </c>
      <c r="N67" s="20">
        <f>'Model inputs'!N16*'Model inputs'!Z65</f>
        <v>3960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f>'Model inputs'!X16*'Model inputs'!Z65</f>
        <v>0</v>
      </c>
      <c r="Y67" s="20">
        <f>'Model inputs'!Y16*'Model inputs'!Z65</f>
        <v>0</v>
      </c>
    </row>
    <row r="68">
      <c r="A68" t="inlineStr" s="28">
        <is>
          <t xml:space="preserve">Receita mensal — projeção Base (EUR) · Teste Pro 109 € — fixos 500 €/mês</t>
        </is>
      </c>
      <c r="B68" s="20">
        <f>'Model inputs'!B17*'DisruptRadar — Projeção men (5)'!G5</f>
        <v>0</v>
      </c>
      <c r="C68" s="20">
        <f>'Model inputs'!C17*'DisruptRadar — Projeção men (5)'!G5</f>
        <v>109</v>
      </c>
      <c r="D68" s="20">
        <f>'Model inputs'!D17*'DisruptRadar — Projeção men (5)'!G5</f>
        <v>436</v>
      </c>
      <c r="E68" s="20">
        <f>'Model inputs'!E17*'DisruptRadar — Projeção men (5)'!G5</f>
        <v>981</v>
      </c>
      <c r="F68" s="20">
        <f>'Model inputs'!F17*'DisruptRadar — Projeção men (5)'!G5</f>
        <v>1526</v>
      </c>
      <c r="G68" s="20">
        <f>'Model inputs'!G17*'DisruptRadar — Projeção men (5)'!G5</f>
        <v>2180</v>
      </c>
      <c r="H68" s="20">
        <f>'Model inputs'!H17*'DisruptRadar — Projeção men (5)'!G5</f>
        <v>2834</v>
      </c>
      <c r="I68" s="20">
        <f>'Model inputs'!I17*'DisruptRadar — Projeção men (5)'!G5</f>
        <v>3488</v>
      </c>
      <c r="J68" s="20">
        <f>'Model inputs'!J17*'DisruptRadar — Projeção men (5)'!G5</f>
        <v>4142</v>
      </c>
      <c r="K68" s="20">
        <f>'Model inputs'!K17*'DisruptRadar — Projeção men (5)'!G5</f>
        <v>4360</v>
      </c>
      <c r="L68" s="20">
        <f>'Model inputs'!L17*'DisruptRadar — Projeção men (5)'!G5</f>
        <v>4360</v>
      </c>
      <c r="M68" s="20">
        <f>'Model inputs'!M17*'DisruptRadar — Projeção men (5)'!G5</f>
        <v>4360</v>
      </c>
      <c r="N68" s="20">
        <f>'Model inputs'!N17*'DisruptRadar — Projeção men (5)'!G5</f>
        <v>4360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f>'Model inputs'!X17*'DisruptRadar — Projeção men (5)'!G5</f>
        <v>0</v>
      </c>
      <c r="Y68" s="20">
        <f>'Model inputs'!Y17*'DisruptRadar — Projeção men (5)'!G5</f>
        <v>0</v>
      </c>
    </row>
    <row r="69">
      <c r="A69" t="inlineStr" s="28">
        <is>
          <t xml:space="preserve">Receita mensal — projeção Base (EUR) · Base — fixos 400 €/mês</t>
        </is>
      </c>
      <c r="B69" s="20">
        <f>'Model inputs'!B18*'Model inputs'!AA125</f>
        <v>0</v>
      </c>
      <c r="C69" s="20">
        <f>'Model inputs'!C18*'Model inputs'!AA125</f>
        <v>99</v>
      </c>
      <c r="D69" s="20">
        <f>'Model inputs'!D18*'Model inputs'!AA125</f>
        <v>396</v>
      </c>
      <c r="E69" s="20">
        <f>'Model inputs'!E18*'Model inputs'!AA125</f>
        <v>891</v>
      </c>
      <c r="F69" s="20">
        <f>'Model inputs'!F18*'Model inputs'!AA125</f>
        <v>1386</v>
      </c>
      <c r="G69" s="20">
        <f>'Model inputs'!G18*'Model inputs'!AA125</f>
        <v>1980</v>
      </c>
      <c r="H69" s="20">
        <f>'Model inputs'!H18*'Model inputs'!AA125</f>
        <v>2574</v>
      </c>
      <c r="I69" s="20">
        <f>'Model inputs'!I18*'Model inputs'!AA125</f>
        <v>3168</v>
      </c>
      <c r="J69" s="20">
        <f>'Model inputs'!J18*'Model inputs'!AA125</f>
        <v>3762</v>
      </c>
      <c r="K69" s="20">
        <f>'Model inputs'!K18*'Model inputs'!AA125</f>
        <v>3960</v>
      </c>
      <c r="L69" s="20">
        <f>'Model inputs'!L18*'Model inputs'!AA125</f>
        <v>3960</v>
      </c>
      <c r="M69" s="20">
        <f>'Model inputs'!M18*'Model inputs'!AA125</f>
        <v>3960</v>
      </c>
      <c r="N69" s="20">
        <f>'Model inputs'!N18*'Model inputs'!AA125</f>
        <v>3960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f>'Model inputs'!X18*'Model inputs'!AA125</f>
        <v>0</v>
      </c>
      <c r="Y69" s="20">
        <f>'Model inputs'!Y18*'Model inputs'!AA125</f>
        <v>0</v>
      </c>
    </row>
    <row r="70">
      <c r="A70" t="inlineStr" s="28">
        <is>
          <t xml:space="preserve">Receita mensal — projeção Base (EUR) · Teste Pro 109 € — fixos 400 €/mês</t>
        </is>
      </c>
      <c r="B70" s="20">
        <f>'Model inputs'!B19*'DisruptRadar — Projeção men (5)'!F5</f>
        <v>0</v>
      </c>
      <c r="C70" s="20">
        <f>'Model inputs'!C19*'DisruptRadar — Projeção men (5)'!F5</f>
        <v>109</v>
      </c>
      <c r="D70" s="20">
        <f>'Model inputs'!D19*'DisruptRadar — Projeção men (5)'!F5</f>
        <v>436</v>
      </c>
      <c r="E70" s="20">
        <f>'Model inputs'!E19*'DisruptRadar — Projeção men (5)'!F5</f>
        <v>981</v>
      </c>
      <c r="F70" s="20">
        <f>'Model inputs'!F19*'DisruptRadar — Projeção men (5)'!F5</f>
        <v>1526</v>
      </c>
      <c r="G70" s="20">
        <f>'Model inputs'!G19*'DisruptRadar — Projeção men (5)'!F5</f>
        <v>2180</v>
      </c>
      <c r="H70" s="20">
        <f>'Model inputs'!H19*'DisruptRadar — Projeção men (5)'!F5</f>
        <v>2834</v>
      </c>
      <c r="I70" s="20">
        <f>'Model inputs'!I19*'DisruptRadar — Projeção men (5)'!F5</f>
        <v>3488</v>
      </c>
      <c r="J70" s="20">
        <f>'Model inputs'!J19*'DisruptRadar — Projeção men (5)'!F5</f>
        <v>4142</v>
      </c>
      <c r="K70" s="20">
        <f>'Model inputs'!K19*'DisruptRadar — Projeção men (5)'!F5</f>
        <v>4360</v>
      </c>
      <c r="L70" s="20">
        <f>'Model inputs'!L19*'DisruptRadar — Projeção men (5)'!F5</f>
        <v>4360</v>
      </c>
      <c r="M70" s="20">
        <f>'Model inputs'!M19*'DisruptRadar — Projeção men (5)'!F5</f>
        <v>4360</v>
      </c>
      <c r="N70" s="20">
        <f>'Model inputs'!N19*'DisruptRadar — Projeção men (5)'!F5</f>
        <v>4360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f>'Model inputs'!X19*'DisruptRadar — Projeção men (5)'!F5</f>
        <v>0</v>
      </c>
      <c r="Y70" s="20">
        <f>'Model inputs'!Y19*'DisruptRadar — Projeção men (5)'!F5</f>
        <v>0</v>
      </c>
    </row>
    <row r="71">
      <c r="A71" t="inlineStr" s="28">
        <is>
          <t xml:space="preserve">Receita mensal — projeção Base (EUR) · Base — fixos 300 €/mês</t>
        </is>
      </c>
      <c r="B71" s="20">
        <f>'Model inputs'!B20*'Model inputs'!AA126</f>
        <v>0</v>
      </c>
      <c r="C71" s="20">
        <f>'Model inputs'!C20*'Model inputs'!AA126</f>
        <v>99</v>
      </c>
      <c r="D71" s="20">
        <f>'Model inputs'!D20*'Model inputs'!AA126</f>
        <v>396</v>
      </c>
      <c r="E71" s="20">
        <f>'Model inputs'!E20*'Model inputs'!AA126</f>
        <v>891</v>
      </c>
      <c r="F71" s="20">
        <f>'Model inputs'!F20*'Model inputs'!AA126</f>
        <v>1386</v>
      </c>
      <c r="G71" s="20">
        <f>'Model inputs'!G20*'Model inputs'!AA126</f>
        <v>1980</v>
      </c>
      <c r="H71" s="20">
        <f>'Model inputs'!H20*'Model inputs'!AA126</f>
        <v>2574</v>
      </c>
      <c r="I71" s="20">
        <f>'Model inputs'!I20*'Model inputs'!AA126</f>
        <v>3168</v>
      </c>
      <c r="J71" s="20">
        <f>'Model inputs'!J20*'Model inputs'!AA126</f>
        <v>3762</v>
      </c>
      <c r="K71" s="20">
        <f>'Model inputs'!K20*'Model inputs'!AA126</f>
        <v>3960</v>
      </c>
      <c r="L71" s="20">
        <f>'Model inputs'!L20*'Model inputs'!AA126</f>
        <v>3960</v>
      </c>
      <c r="M71" s="20">
        <f>'Model inputs'!M20*'Model inputs'!AA126</f>
        <v>3960</v>
      </c>
      <c r="N71" s="20">
        <f>'Model inputs'!N20*'Model inputs'!AA126</f>
        <v>3960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f>'Model inputs'!X20*'Model inputs'!AA126</f>
        <v>0</v>
      </c>
      <c r="Y71" s="20">
        <f>'Model inputs'!Y20*'Model inputs'!AA126</f>
        <v>0</v>
      </c>
    </row>
    <row r="72">
      <c r="A72" t="inlineStr" s="28">
        <is>
          <t xml:space="preserve">Receita mensal — projeção Base (EUR) · Teste Pro 119 € — fixos 500 €/mês</t>
        </is>
      </c>
      <c r="B72" s="20">
        <f>'Model inputs'!B21*'DisruptRadar — Projeção men (5)'!J5</f>
        <v>0</v>
      </c>
      <c r="C72" s="20">
        <f>'Model inputs'!C21*'DisruptRadar — Projeção men (5)'!J5</f>
        <v>119</v>
      </c>
      <c r="D72" s="20">
        <f>'Model inputs'!D21*'DisruptRadar — Projeção men (5)'!J5</f>
        <v>476</v>
      </c>
      <c r="E72" s="20">
        <f>'Model inputs'!E21*'DisruptRadar — Projeção men (5)'!J5</f>
        <v>1071</v>
      </c>
      <c r="F72" s="20">
        <f>'Model inputs'!F21*'DisruptRadar — Projeção men (5)'!J5</f>
        <v>1666</v>
      </c>
      <c r="G72" s="20">
        <f>'Model inputs'!G21*'DisruptRadar — Projeção men (5)'!J5</f>
        <v>2380</v>
      </c>
      <c r="H72" s="20">
        <f>'Model inputs'!H21*'DisruptRadar — Projeção men (5)'!J5</f>
        <v>3094</v>
      </c>
      <c r="I72" s="20">
        <f>'Model inputs'!I21*'DisruptRadar — Projeção men (5)'!J5</f>
        <v>3808</v>
      </c>
      <c r="J72" s="20">
        <f>'Model inputs'!J21*'DisruptRadar — Projeção men (5)'!J5</f>
        <v>4522</v>
      </c>
      <c r="K72" s="20">
        <f>'Model inputs'!K21*'DisruptRadar — Projeção men (5)'!J5</f>
        <v>4760</v>
      </c>
      <c r="L72" s="20">
        <f>'Model inputs'!L21*'DisruptRadar — Projeção men (5)'!J5</f>
        <v>4760</v>
      </c>
      <c r="M72" s="20">
        <f>'Model inputs'!M21*'DisruptRadar — Projeção men (5)'!J5</f>
        <v>4760</v>
      </c>
      <c r="N72" s="20">
        <f>'Model inputs'!N21*'DisruptRadar — Projeção men (5)'!J5</f>
        <v>4760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f>'Model inputs'!X21*'DisruptRadar — Projeção men (5)'!J5</f>
        <v>0</v>
      </c>
      <c r="Y72" s="20">
        <f>'Model inputs'!Y21*'DisruptRadar — Projeção men (5)'!J5</f>
        <v>0</v>
      </c>
    </row>
    <row r="73">
      <c r="A73" t="inlineStr" s="28">
        <is>
          <t xml:space="preserve">Receita mensal — projeção Base (EUR) · Teste Pro 119 € — fixos 400 €/mês</t>
        </is>
      </c>
      <c r="B73" s="20">
        <f>'Model inputs'!B22*'DisruptRadar — Projeção men (5)'!I5</f>
        <v>0</v>
      </c>
      <c r="C73" s="20">
        <f>'Model inputs'!C22*'DisruptRadar — Projeção men (5)'!I5</f>
        <v>119</v>
      </c>
      <c r="D73" s="20">
        <f>'Model inputs'!D22*'DisruptRadar — Projeção men (5)'!I5</f>
        <v>476</v>
      </c>
      <c r="E73" s="20">
        <f>'Model inputs'!E22*'DisruptRadar — Projeção men (5)'!I5</f>
        <v>1071</v>
      </c>
      <c r="F73" s="20">
        <f>'Model inputs'!F22*'DisruptRadar — Projeção men (5)'!I5</f>
        <v>1666</v>
      </c>
      <c r="G73" s="20">
        <f>'Model inputs'!G22*'DisruptRadar — Projeção men (5)'!I5</f>
        <v>2380</v>
      </c>
      <c r="H73" s="20">
        <f>'Model inputs'!H22*'DisruptRadar — Projeção men (5)'!I5</f>
        <v>3094</v>
      </c>
      <c r="I73" s="20">
        <f>'Model inputs'!I22*'DisruptRadar — Projeção men (5)'!I5</f>
        <v>3808</v>
      </c>
      <c r="J73" s="20">
        <f>'Model inputs'!J22*'DisruptRadar — Projeção men (5)'!I5</f>
        <v>4522</v>
      </c>
      <c r="K73" s="20">
        <f>'Model inputs'!K22*'DisruptRadar — Projeção men (5)'!I5</f>
        <v>4760</v>
      </c>
      <c r="L73" s="20">
        <f>'Model inputs'!L22*'DisruptRadar — Projeção men (5)'!I5</f>
        <v>4760</v>
      </c>
      <c r="M73" s="20">
        <f>'Model inputs'!M22*'DisruptRadar — Projeção men (5)'!I5</f>
        <v>4760</v>
      </c>
      <c r="N73" s="20">
        <f>'Model inputs'!N22*'DisruptRadar — Projeção men (5)'!I5</f>
        <v>4760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f>'Model inputs'!X22*'DisruptRadar — Projeção men (5)'!I5</f>
        <v>0</v>
      </c>
      <c r="Y73" s="20">
        <f>'Model inputs'!Y22*'DisruptRadar — Projeção men (5)'!I5</f>
        <v>0</v>
      </c>
    </row>
    <row r="74">
      <c r="A74" t="inlineStr" s="28">
        <is>
          <t xml:space="preserve">Receita mensal — projeção Base (EUR) · Teste Pro 109 € — fixos 300 €/mês</t>
        </is>
      </c>
      <c r="B74" s="20">
        <f>'Model inputs'!B23*'DisruptRadar — Projeção men (5)'!E5</f>
        <v>0</v>
      </c>
      <c r="C74" s="20">
        <f>'Model inputs'!C23*'DisruptRadar — Projeção men (5)'!E5</f>
        <v>109</v>
      </c>
      <c r="D74" s="20">
        <f>'Model inputs'!D23*'DisruptRadar — Projeção men (5)'!E5</f>
        <v>436</v>
      </c>
      <c r="E74" s="20">
        <f>'Model inputs'!E23*'DisruptRadar — Projeção men (5)'!E5</f>
        <v>981</v>
      </c>
      <c r="F74" s="20">
        <f>'Model inputs'!F23*'DisruptRadar — Projeção men (5)'!E5</f>
        <v>1526</v>
      </c>
      <c r="G74" s="20">
        <f>'Model inputs'!G23*'DisruptRadar — Projeção men (5)'!E5</f>
        <v>2180</v>
      </c>
      <c r="H74" s="20">
        <f>'Model inputs'!H23*'DisruptRadar — Projeção men (5)'!E5</f>
        <v>2834</v>
      </c>
      <c r="I74" s="20">
        <f>'Model inputs'!I23*'DisruptRadar — Projeção men (5)'!E5</f>
        <v>3488</v>
      </c>
      <c r="J74" s="20">
        <f>'Model inputs'!J23*'DisruptRadar — Projeção men (5)'!E5</f>
        <v>4142</v>
      </c>
      <c r="K74" s="20">
        <f>'Model inputs'!K23*'DisruptRadar — Projeção men (5)'!E5</f>
        <v>4360</v>
      </c>
      <c r="L74" s="20">
        <f>'Model inputs'!L23*'DisruptRadar — Projeção men (5)'!E5</f>
        <v>4360</v>
      </c>
      <c r="M74" s="20">
        <f>'Model inputs'!M23*'DisruptRadar — Projeção men (5)'!E5</f>
        <v>4360</v>
      </c>
      <c r="N74" s="20">
        <f>'Model inputs'!N23*'DisruptRadar — Projeção men (5)'!E5</f>
        <v>4360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f>'Model inputs'!X23*'DisruptRadar — Projeção men (5)'!E5</f>
        <v>0</v>
      </c>
      <c r="Y74" s="20">
        <f>'Model inputs'!Y23*'DisruptRadar — Projeção men (5)'!E5</f>
        <v>0</v>
      </c>
    </row>
    <row r="75">
      <c r="A75" t="inlineStr" s="28">
        <is>
          <t xml:space="preserve">Receita mensal — projeção Base (EUR) · Teste Pro 119 € — fixos 300 €/mês</t>
        </is>
      </c>
      <c r="B75" s="20">
        <f>'Model inputs'!B24*'DisruptRadar — Projeção men (5)'!H5</f>
        <v>0</v>
      </c>
      <c r="C75" s="20">
        <f>'Model inputs'!C24*'DisruptRadar — Projeção men (5)'!H5</f>
        <v>119</v>
      </c>
      <c r="D75" s="20">
        <f>'Model inputs'!D24*'DisruptRadar — Projeção men (5)'!H5</f>
        <v>476</v>
      </c>
      <c r="E75" s="20">
        <f>'Model inputs'!E24*'DisruptRadar — Projeção men (5)'!H5</f>
        <v>1071</v>
      </c>
      <c r="F75" s="20">
        <f>'Model inputs'!F24*'DisruptRadar — Projeção men (5)'!H5</f>
        <v>1666</v>
      </c>
      <c r="G75" s="20">
        <f>'Model inputs'!G24*'DisruptRadar — Projeção men (5)'!H5</f>
        <v>2380</v>
      </c>
      <c r="H75" s="20">
        <f>'Model inputs'!H24*'DisruptRadar — Projeção men (5)'!H5</f>
        <v>3094</v>
      </c>
      <c r="I75" s="20">
        <f>'Model inputs'!I24*'DisruptRadar — Projeção men (5)'!H5</f>
        <v>3808</v>
      </c>
      <c r="J75" s="20">
        <f>'Model inputs'!J24*'DisruptRadar — Projeção men (5)'!H5</f>
        <v>4522</v>
      </c>
      <c r="K75" s="20">
        <f>'Model inputs'!K24*'DisruptRadar — Projeção men (5)'!H5</f>
        <v>4760</v>
      </c>
      <c r="L75" s="20">
        <f>'Model inputs'!L24*'DisruptRadar — Projeção men (5)'!H5</f>
        <v>4760</v>
      </c>
      <c r="M75" s="20">
        <f>'Model inputs'!M24*'DisruptRadar — Projeção men (5)'!H5</f>
        <v>4760</v>
      </c>
      <c r="N75" s="20">
        <f>'Model inputs'!N24*'DisruptRadar — Projeção men (5)'!H5</f>
        <v>4760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f>'Model inputs'!X24*'DisruptRadar — Projeção men (5)'!H5</f>
        <v>0</v>
      </c>
      <c r="Y75" s="20">
        <f>'Model inputs'!Y24*'DisruptRadar — Projeção men (5)'!H5</f>
        <v>0</v>
      </c>
    </row>
    <row r="76">
      <c r="A76" t="inlineStr" s="28">
        <is>
          <t xml:space="preserve">Caixa inicial do mês — projeção Base (EUR) · Caixa final — projeção Base (EUR) · DisruptRadar — Projeção mensal · Projeção mensal Base — clientes, resultado e caixa · Base · Base</t>
        </is>
      </c>
      <c r="B76" s="20">
        <f>IF('Model inputs'!B15="","",'Model inputs'!B15)</f>
        <v>-1000</v>
      </c>
      <c r="C76" s="20">
        <f>IF('Model inputs'!C15="","",'Model inputs'!C15)</f>
        <v>20000</v>
      </c>
      <c r="D76" s="20">
        <f>IF('Model inputs'!D15="","",'Model inputs'!D15)</f>
        <v>19569</v>
      </c>
      <c r="E76" s="20">
        <f>IF('Model inputs'!E15="","",'Model inputs'!E15)</f>
        <v>19345</v>
      </c>
      <c r="F76" s="20">
        <f>IF('Model inputs'!F15="","",'Model inputs'!F15)</f>
        <v>19466</v>
      </c>
      <c r="G76" s="20">
        <f>IF('Model inputs'!G15="","",'Model inputs'!G15)</f>
        <v>19932</v>
      </c>
      <c r="H76" s="20">
        <f>IF('Model inputs'!H15="","",'Model inputs'!H15)</f>
        <v>20812</v>
      </c>
      <c r="I76" s="20">
        <f>IF('Model inputs'!I15="","",'Model inputs'!I15)</f>
        <v>22106</v>
      </c>
      <c r="J76" s="20">
        <f>IF('Model inputs'!J15="","",'Model inputs'!J15)</f>
        <v>23814</v>
      </c>
      <c r="K76" s="20">
        <f>IF('Model inputs'!K15="","",'Model inputs'!K15)</f>
        <v>25936</v>
      </c>
      <c r="L76" s="20">
        <f>IF('Model inputs'!L15="","",'Model inputs'!L15)</f>
        <v>28196</v>
      </c>
      <c r="M76" s="20">
        <f>IF('Model inputs'!M15="","",'Model inputs'!M15)</f>
        <v>30456</v>
      </c>
      <c r="N76" s="20">
        <f>IF('Model inputs'!N15="","",'Model inputs'!N15)</f>
        <v>32716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f>IF('Model inputs'!W15="","",'Model inputs'!W15)</f>
        <v>0</v>
      </c>
      <c r="X76" s="20">
        <f>IF('Model inputs'!X15="","",'Model inputs'!X15)</f>
        <v>0</v>
      </c>
      <c r="Y76" s="20">
        <f>IF('Model inputs'!Y15="","",'Model inputs'!Y15)</f>
        <v>-500</v>
      </c>
    </row>
    <row r="77">
      <c r="A77" t="inlineStr" s="28">
        <is>
          <t xml:space="preserve">Caixa inicial do mês — projeção Base (EUR) · Caixa final — projeção Base (EUR) · Base — fixos 400 €/mês · Base — fixos 400 €/mês</t>
        </is>
      </c>
      <c r="B77" s="20">
        <f>IF(IF(IF(ISERROR(DATE(2026,12,1)=DATE(YEAR('Model inputs'!AA122),MONTH('Model inputs'!AA122),1)),DATE(2026,12,1)=DATE(YEAR('Model inputs'!AA122),MONTH('Model inputs'!AA122),1),IF(DATE(YEAR('Model inputs'!AA122),MONTH('Model inputs'!AA122),1)="","",DATE(2026,12,1)=DATE(YEAR('Model inputs'!AA122),MONTH('Model inputs'!AA122),1)))="",FALSE,IF(ISERROR(DATE(2026,12,1)=DATE(YEAR('Model inputs'!AA122),MONTH('Model inputs'!AA122),1)),DATE(2026,12,1)=DATE(YEAR('Model inputs'!AA122),MONTH('Model inputs'!AA122),1),IF(DATE(YEAR('Model inputs'!AA122),MONTH('Model inputs'!AA122),1)="","",DATE(2026,12,1)=DATE(YEAR('Model inputs'!AA122),MONTH('Model inputs'!AA122),1)))),IF('Model inputs'!AA107="","",'Model inputs'!AA107),IF('Model inputs'!Y8="","",'Model inputs'!Y8))</f>
        <v>-800</v>
      </c>
      <c r="C77" s="20">
        <f>IF(IF(IF(ISERROR(DATE(2027,1,1)=DATE(YEAR('Model inputs'!AA122),MONTH('Model inputs'!AA122),1)),DATE(2027,1,1)=DATE(YEAR('Model inputs'!AA122),MONTH('Model inputs'!AA122),1),IF(DATE(YEAR('Model inputs'!AA122),MONTH('Model inputs'!AA122),1)="","",DATE(2027,1,1)=DATE(YEAR('Model inputs'!AA122),MONTH('Model inputs'!AA122),1)))="",FALSE,IF(ISERROR(DATE(2027,1,1)=DATE(YEAR('Model inputs'!AA122),MONTH('Model inputs'!AA122),1)),DATE(2027,1,1)=DATE(YEAR('Model inputs'!AA122),MONTH('Model inputs'!AA122),1),IF(DATE(YEAR('Model inputs'!AA122),MONTH('Model inputs'!AA122),1)="","",DATE(2027,1,1)=DATE(YEAR('Model inputs'!AA122),MONTH('Model inputs'!AA122),1)))),IF('Model inputs'!AA107="","",'Model inputs'!AA107),IF('Model inputs'!B8="","",'Model inputs'!B8))</f>
        <v>20000</v>
      </c>
      <c r="D77" s="20">
        <f>IF(IF(IF(ISERROR(DATE(2027,2,1)=DATE(YEAR('Model inputs'!AA122),MONTH('Model inputs'!AA122),1)),DATE(2027,2,1)=DATE(YEAR('Model inputs'!AA122),MONTH('Model inputs'!AA122),1),IF(DATE(YEAR('Model inputs'!AA122),MONTH('Model inputs'!AA122),1)="","",DATE(2027,2,1)=DATE(YEAR('Model inputs'!AA122),MONTH('Model inputs'!AA122),1)))="",FALSE,IF(ISERROR(DATE(2027,2,1)=DATE(YEAR('Model inputs'!AA122),MONTH('Model inputs'!AA122),1)),DATE(2027,2,1)=DATE(YEAR('Model inputs'!AA122),MONTH('Model inputs'!AA122),1),IF(DATE(YEAR('Model inputs'!AA122),MONTH('Model inputs'!AA122),1)="","",DATE(2027,2,1)=DATE(YEAR('Model inputs'!AA122),MONTH('Model inputs'!AA122),1)))),IF('Model inputs'!AA107="","",'Model inputs'!AA107),IF('Model inputs'!C8="","",'Model inputs'!C8))</f>
        <v>19669</v>
      </c>
      <c r="E77" s="20">
        <f>IF(IF(IF(ISERROR(DATE(2027,3,1)=DATE(YEAR('Model inputs'!AA122),MONTH('Model inputs'!AA122),1)),DATE(2027,3,1)=DATE(YEAR('Model inputs'!AA122),MONTH('Model inputs'!AA122),1),IF(DATE(YEAR('Model inputs'!AA122),MONTH('Model inputs'!AA122),1)="","",DATE(2027,3,1)=DATE(YEAR('Model inputs'!AA122),MONTH('Model inputs'!AA122),1)))="",FALSE,IF(ISERROR(DATE(2027,3,1)=DATE(YEAR('Model inputs'!AA122),MONTH('Model inputs'!AA122),1)),DATE(2027,3,1)=DATE(YEAR('Model inputs'!AA122),MONTH('Model inputs'!AA122),1),IF(DATE(YEAR('Model inputs'!AA122),MONTH('Model inputs'!AA122),1)="","",DATE(2027,3,1)=DATE(YEAR('Model inputs'!AA122),MONTH('Model inputs'!AA122),1)))),IF('Model inputs'!AA107="","",'Model inputs'!AA107),IF('Model inputs'!D8="","",'Model inputs'!D8))</f>
        <v>19545</v>
      </c>
      <c r="F77" s="20">
        <f>IF(IF(IF(ISERROR(DATE(2027,4,1)=DATE(YEAR('Model inputs'!AA122),MONTH('Model inputs'!AA122),1)),DATE(2027,4,1)=DATE(YEAR('Model inputs'!AA122),MONTH('Model inputs'!AA122),1),IF(DATE(YEAR('Model inputs'!AA122),MONTH('Model inputs'!AA122),1)="","",DATE(2027,4,1)=DATE(YEAR('Model inputs'!AA122),MONTH('Model inputs'!AA122),1)))="",FALSE,IF(ISERROR(DATE(2027,4,1)=DATE(YEAR('Model inputs'!AA122),MONTH('Model inputs'!AA122),1)),DATE(2027,4,1)=DATE(YEAR('Model inputs'!AA122),MONTH('Model inputs'!AA122),1),IF(DATE(YEAR('Model inputs'!AA122),MONTH('Model inputs'!AA122),1)="","",DATE(2027,4,1)=DATE(YEAR('Model inputs'!AA122),MONTH('Model inputs'!AA122),1)))),IF('Model inputs'!AA107="","",'Model inputs'!AA107),IF('Model inputs'!E8="","",'Model inputs'!E8))</f>
        <v>19766</v>
      </c>
      <c r="G77" s="20">
        <f>IF(IF(IF(ISERROR(DATE(2027,5,1)=DATE(YEAR('Model inputs'!AA122),MONTH('Model inputs'!AA122),1)),DATE(2027,5,1)=DATE(YEAR('Model inputs'!AA122),MONTH('Model inputs'!AA122),1),IF(DATE(YEAR('Model inputs'!AA122),MONTH('Model inputs'!AA122),1)="","",DATE(2027,5,1)=DATE(YEAR('Model inputs'!AA122),MONTH('Model inputs'!AA122),1)))="",FALSE,IF(ISERROR(DATE(2027,5,1)=DATE(YEAR('Model inputs'!AA122),MONTH('Model inputs'!AA122),1)),DATE(2027,5,1)=DATE(YEAR('Model inputs'!AA122),MONTH('Model inputs'!AA122),1),IF(DATE(YEAR('Model inputs'!AA122),MONTH('Model inputs'!AA122),1)="","",DATE(2027,5,1)=DATE(YEAR('Model inputs'!AA122),MONTH('Model inputs'!AA122),1)))),IF('Model inputs'!AA107="","",'Model inputs'!AA107),IF('Model inputs'!F8="","",'Model inputs'!F8))</f>
        <v>20332</v>
      </c>
      <c r="H77" s="20">
        <f>IF(IF(IF(ISERROR(DATE(2027,6,1)=DATE(YEAR('Model inputs'!AA122),MONTH('Model inputs'!AA122),1)),DATE(2027,6,1)=DATE(YEAR('Model inputs'!AA122),MONTH('Model inputs'!AA122),1),IF(DATE(YEAR('Model inputs'!AA122),MONTH('Model inputs'!AA122),1)="","",DATE(2027,6,1)=DATE(YEAR('Model inputs'!AA122),MONTH('Model inputs'!AA122),1)))="",FALSE,IF(ISERROR(DATE(2027,6,1)=DATE(YEAR('Model inputs'!AA122),MONTH('Model inputs'!AA122),1)),DATE(2027,6,1)=DATE(YEAR('Model inputs'!AA122),MONTH('Model inputs'!AA122),1),IF(DATE(YEAR('Model inputs'!AA122),MONTH('Model inputs'!AA122),1)="","",DATE(2027,6,1)=DATE(YEAR('Model inputs'!AA122),MONTH('Model inputs'!AA122),1)))),IF('Model inputs'!AA107="","",'Model inputs'!AA107),IF('Model inputs'!G8="","",'Model inputs'!G8))</f>
        <v>21312</v>
      </c>
      <c r="I77" s="20">
        <f>IF(IF(IF(ISERROR(DATE(2027,7,1)=DATE(YEAR('Model inputs'!AA122),MONTH('Model inputs'!AA122),1)),DATE(2027,7,1)=DATE(YEAR('Model inputs'!AA122),MONTH('Model inputs'!AA122),1),IF(DATE(YEAR('Model inputs'!AA122),MONTH('Model inputs'!AA122),1)="","",DATE(2027,7,1)=DATE(YEAR('Model inputs'!AA122),MONTH('Model inputs'!AA122),1)))="",FALSE,IF(ISERROR(DATE(2027,7,1)=DATE(YEAR('Model inputs'!AA122),MONTH('Model inputs'!AA122),1)),DATE(2027,7,1)=DATE(YEAR('Model inputs'!AA122),MONTH('Model inputs'!AA122),1),IF(DATE(YEAR('Model inputs'!AA122),MONTH('Model inputs'!AA122),1)="","",DATE(2027,7,1)=DATE(YEAR('Model inputs'!AA122),MONTH('Model inputs'!AA122),1)))),IF('Model inputs'!AA107="","",'Model inputs'!AA107),IF('Model inputs'!H8="","",'Model inputs'!H8))</f>
        <v>22706</v>
      </c>
      <c r="J77" s="20">
        <f>IF(IF(IF(ISERROR(DATE(2027,8,1)=DATE(YEAR('Model inputs'!AA122),MONTH('Model inputs'!AA122),1)),DATE(2027,8,1)=DATE(YEAR('Model inputs'!AA122),MONTH('Model inputs'!AA122),1),IF(DATE(YEAR('Model inputs'!AA122),MONTH('Model inputs'!AA122),1)="","",DATE(2027,8,1)=DATE(YEAR('Model inputs'!AA122),MONTH('Model inputs'!AA122),1)))="",FALSE,IF(ISERROR(DATE(2027,8,1)=DATE(YEAR('Model inputs'!AA122),MONTH('Model inputs'!AA122),1)),DATE(2027,8,1)=DATE(YEAR('Model inputs'!AA122),MONTH('Model inputs'!AA122),1),IF(DATE(YEAR('Model inputs'!AA122),MONTH('Model inputs'!AA122),1)="","",DATE(2027,8,1)=DATE(YEAR('Model inputs'!AA122),MONTH('Model inputs'!AA122),1)))),IF('Model inputs'!AA107="","",'Model inputs'!AA107),IF('Model inputs'!I8="","",'Model inputs'!I8))</f>
        <v>24514</v>
      </c>
      <c r="K77" s="20">
        <f>IF(IF(IF(ISERROR(DATE(2027,9,1)=DATE(YEAR('Model inputs'!AA122),MONTH('Model inputs'!AA122),1)),DATE(2027,9,1)=DATE(YEAR('Model inputs'!AA122),MONTH('Model inputs'!AA122),1),IF(DATE(YEAR('Model inputs'!AA122),MONTH('Model inputs'!AA122),1)="","",DATE(2027,9,1)=DATE(YEAR('Model inputs'!AA122),MONTH('Model inputs'!AA122),1)))="",FALSE,IF(ISERROR(DATE(2027,9,1)=DATE(YEAR('Model inputs'!AA122),MONTH('Model inputs'!AA122),1)),DATE(2027,9,1)=DATE(YEAR('Model inputs'!AA122),MONTH('Model inputs'!AA122),1),IF(DATE(YEAR('Model inputs'!AA122),MONTH('Model inputs'!AA122),1)="","",DATE(2027,9,1)=DATE(YEAR('Model inputs'!AA122),MONTH('Model inputs'!AA122),1)))),IF('Model inputs'!AA107="","",'Model inputs'!AA107),IF('Model inputs'!J8="","",'Model inputs'!J8))</f>
        <v>26736</v>
      </c>
      <c r="L77" s="20">
        <f>IF(IF(IF(ISERROR(DATE(2027,10,1)=DATE(YEAR('Model inputs'!AA122),MONTH('Model inputs'!AA122),1)),DATE(2027,10,1)=DATE(YEAR('Model inputs'!AA122),MONTH('Model inputs'!AA122),1),IF(DATE(YEAR('Model inputs'!AA122),MONTH('Model inputs'!AA122),1)="","",DATE(2027,10,1)=DATE(YEAR('Model inputs'!AA122),MONTH('Model inputs'!AA122),1)))="",FALSE,IF(ISERROR(DATE(2027,10,1)=DATE(YEAR('Model inputs'!AA122),MONTH('Model inputs'!AA122),1)),DATE(2027,10,1)=DATE(YEAR('Model inputs'!AA122),MONTH('Model inputs'!AA122),1),IF(DATE(YEAR('Model inputs'!AA122),MONTH('Model inputs'!AA122),1)="","",DATE(2027,10,1)=DATE(YEAR('Model inputs'!AA122),MONTH('Model inputs'!AA122),1)))),IF('Model inputs'!AA107="","",'Model inputs'!AA107),IF('Model inputs'!K8="","",'Model inputs'!K8))</f>
        <v>29096</v>
      </c>
      <c r="M77" s="20">
        <f>IF(IF(IF(ISERROR(DATE(2027,11,1)=DATE(YEAR('Model inputs'!AA122),MONTH('Model inputs'!AA122),1)),DATE(2027,11,1)=DATE(YEAR('Model inputs'!AA122),MONTH('Model inputs'!AA122),1),IF(DATE(YEAR('Model inputs'!AA122),MONTH('Model inputs'!AA122),1)="","",DATE(2027,11,1)=DATE(YEAR('Model inputs'!AA122),MONTH('Model inputs'!AA122),1)))="",FALSE,IF(ISERROR(DATE(2027,11,1)=DATE(YEAR('Model inputs'!AA122),MONTH('Model inputs'!AA122),1)),DATE(2027,11,1)=DATE(YEAR('Model inputs'!AA122),MONTH('Model inputs'!AA122),1),IF(DATE(YEAR('Model inputs'!AA122),MONTH('Model inputs'!AA122),1)="","",DATE(2027,11,1)=DATE(YEAR('Model inputs'!AA122),MONTH('Model inputs'!AA122),1)))),IF('Model inputs'!AA107="","",'Model inputs'!AA107),IF('Model inputs'!L8="","",'Model inputs'!L8))</f>
        <v>31456</v>
      </c>
      <c r="N77" s="20">
        <f>IF(IF(IF(ISERROR(DATE(2027,12,1)=DATE(YEAR('Model inputs'!AA122),MONTH('Model inputs'!AA122),1)),DATE(2027,12,1)=DATE(YEAR('Model inputs'!AA122),MONTH('Model inputs'!AA122),1),IF(DATE(YEAR('Model inputs'!AA122),MONTH('Model inputs'!AA122),1)="","",DATE(2027,12,1)=DATE(YEAR('Model inputs'!AA122),MONTH('Model inputs'!AA122),1)))="",FALSE,IF(ISERROR(DATE(2027,12,1)=DATE(YEAR('Model inputs'!AA122),MONTH('Model inputs'!AA122),1)),DATE(2027,12,1)=DATE(YEAR('Model inputs'!AA122),MONTH('Model inputs'!AA122),1),IF(DATE(YEAR('Model inputs'!AA122),MONTH('Model inputs'!AA122),1)="","",DATE(2027,12,1)=DATE(YEAR('Model inputs'!AA122),MONTH('Model inputs'!AA122),1)))),IF('Model inputs'!AA107="","",'Model inputs'!AA107),IF('Model inputs'!M8="","",'Model inputs'!M8))</f>
        <v>33816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f>IF(IF(IF(ISERROR(DATE(2026,10,1)=DATE(YEAR('Model inputs'!AA122),MONTH('Model inputs'!AA122),1)),DATE(2026,10,1)=DATE(YEAR('Model inputs'!AA122),MONTH('Model inputs'!AA122),1),IF(DATE(YEAR('Model inputs'!AA122),MONTH('Model inputs'!AA122),1)="","",DATE(2026,10,1)=DATE(YEAR('Model inputs'!AA122),MONTH('Model inputs'!AA122),1)))="",FALSE,IF(ISERROR(DATE(2026,10,1)=DATE(YEAR('Model inputs'!AA122),MONTH('Model inputs'!AA122),1)),DATE(2026,10,1)=DATE(YEAR('Model inputs'!AA122),MONTH('Model inputs'!AA122),1),IF(DATE(YEAR('Model inputs'!AA122),MONTH('Model inputs'!AA122),1)="","",DATE(2026,10,1)=DATE(YEAR('Model inputs'!AA122),MONTH('Model inputs'!AA122),1)))),IF('Model inputs'!AA107="","",'Model inputs'!AA107),IF('Model inputs'!W8="","",'Model inputs'!W8))</f>
        <v>0</v>
      </c>
      <c r="Y77" s="20">
        <f>IF(IF(IF(ISERROR(DATE(2026,11,1)=DATE(YEAR('Model inputs'!AA122),MONTH('Model inputs'!AA122),1)),DATE(2026,11,1)=DATE(YEAR('Model inputs'!AA122),MONTH('Model inputs'!AA122),1),IF(DATE(YEAR('Model inputs'!AA122),MONTH('Model inputs'!AA122),1)="","",DATE(2026,11,1)=DATE(YEAR('Model inputs'!AA122),MONTH('Model inputs'!AA122),1)))="",FALSE,IF(ISERROR(DATE(2026,11,1)=DATE(YEAR('Model inputs'!AA122),MONTH('Model inputs'!AA122),1)),DATE(2026,11,1)=DATE(YEAR('Model inputs'!AA122),MONTH('Model inputs'!AA122),1),IF(DATE(YEAR('Model inputs'!AA122),MONTH('Model inputs'!AA122),1)="","",DATE(2026,11,1)=DATE(YEAR('Model inputs'!AA122),MONTH('Model inputs'!AA122),1)))),IF('Model inputs'!AA107="","",'Model inputs'!AA107),IF('Model inputs'!X8="","",'Model inputs'!X8))</f>
        <v>-400</v>
      </c>
    </row>
    <row r="78">
      <c r="A78" t="inlineStr" s="28">
        <is>
          <t xml:space="preserve">Caixa inicial do mês — projeção Base (EUR) · Caixa final — projeção Base (EUR) · Base — fixos 300 €/mês · Base — fixos 300 €/mês</t>
        </is>
      </c>
      <c r="B78" s="20">
        <f>IF(IF(IF(ISERROR(DATE(2026,12,1)=DATE(YEAR('Model inputs'!AA123),MONTH('Model inputs'!AA123),1)),DATE(2026,12,1)=DATE(YEAR('Model inputs'!AA123),MONTH('Model inputs'!AA123),1),IF(DATE(YEAR('Model inputs'!AA123),MONTH('Model inputs'!AA123),1)="","",DATE(2026,12,1)=DATE(YEAR('Model inputs'!AA123),MONTH('Model inputs'!AA123),1)))="",FALSE,IF(ISERROR(DATE(2026,12,1)=DATE(YEAR('Model inputs'!AA123),MONTH('Model inputs'!AA123),1)),DATE(2026,12,1)=DATE(YEAR('Model inputs'!AA123),MONTH('Model inputs'!AA123),1),IF(DATE(YEAR('Model inputs'!AA123),MONTH('Model inputs'!AA123),1)="","",DATE(2026,12,1)=DATE(YEAR('Model inputs'!AA123),MONTH('Model inputs'!AA123),1)))),IF('Model inputs'!AA108="","",'Model inputs'!AA108),IF('Model inputs'!Y9="","",'Model inputs'!Y9))</f>
        <v>-600</v>
      </c>
      <c r="C78" s="20">
        <f>IF(IF(IF(ISERROR(DATE(2027,1,1)=DATE(YEAR('Model inputs'!AA123),MONTH('Model inputs'!AA123),1)),DATE(2027,1,1)=DATE(YEAR('Model inputs'!AA123),MONTH('Model inputs'!AA123),1),IF(DATE(YEAR('Model inputs'!AA123),MONTH('Model inputs'!AA123),1)="","",DATE(2027,1,1)=DATE(YEAR('Model inputs'!AA123),MONTH('Model inputs'!AA123),1)))="",FALSE,IF(ISERROR(DATE(2027,1,1)=DATE(YEAR('Model inputs'!AA123),MONTH('Model inputs'!AA123),1)),DATE(2027,1,1)=DATE(YEAR('Model inputs'!AA123),MONTH('Model inputs'!AA123),1),IF(DATE(YEAR('Model inputs'!AA123),MONTH('Model inputs'!AA123),1)="","",DATE(2027,1,1)=DATE(YEAR('Model inputs'!AA123),MONTH('Model inputs'!AA123),1)))),IF('Model inputs'!AA108="","",'Model inputs'!AA108),IF('Model inputs'!B9="","",'Model inputs'!B9))</f>
        <v>20000</v>
      </c>
      <c r="D78" s="20">
        <f>IF(IF(IF(ISERROR(DATE(2027,2,1)=DATE(YEAR('Model inputs'!AA123),MONTH('Model inputs'!AA123),1)),DATE(2027,2,1)=DATE(YEAR('Model inputs'!AA123),MONTH('Model inputs'!AA123),1),IF(DATE(YEAR('Model inputs'!AA123),MONTH('Model inputs'!AA123),1)="","",DATE(2027,2,1)=DATE(YEAR('Model inputs'!AA123),MONTH('Model inputs'!AA123),1)))="",FALSE,IF(ISERROR(DATE(2027,2,1)=DATE(YEAR('Model inputs'!AA123),MONTH('Model inputs'!AA123),1)),DATE(2027,2,1)=DATE(YEAR('Model inputs'!AA123),MONTH('Model inputs'!AA123),1),IF(DATE(YEAR('Model inputs'!AA123),MONTH('Model inputs'!AA123),1)="","",DATE(2027,2,1)=DATE(YEAR('Model inputs'!AA123),MONTH('Model inputs'!AA123),1)))),IF('Model inputs'!AA108="","",'Model inputs'!AA108),IF('Model inputs'!C9="","",'Model inputs'!C9))</f>
        <v>19769</v>
      </c>
      <c r="E78" s="20">
        <f>IF(IF(IF(ISERROR(DATE(2027,3,1)=DATE(YEAR('Model inputs'!AA123),MONTH('Model inputs'!AA123),1)),DATE(2027,3,1)=DATE(YEAR('Model inputs'!AA123),MONTH('Model inputs'!AA123),1),IF(DATE(YEAR('Model inputs'!AA123),MONTH('Model inputs'!AA123),1)="","",DATE(2027,3,1)=DATE(YEAR('Model inputs'!AA123),MONTH('Model inputs'!AA123),1)))="",FALSE,IF(ISERROR(DATE(2027,3,1)=DATE(YEAR('Model inputs'!AA123),MONTH('Model inputs'!AA123),1)),DATE(2027,3,1)=DATE(YEAR('Model inputs'!AA123),MONTH('Model inputs'!AA123),1),IF(DATE(YEAR('Model inputs'!AA123),MONTH('Model inputs'!AA123),1)="","",DATE(2027,3,1)=DATE(YEAR('Model inputs'!AA123),MONTH('Model inputs'!AA123),1)))),IF('Model inputs'!AA108="","",'Model inputs'!AA108),IF('Model inputs'!D9="","",'Model inputs'!D9))</f>
        <v>19745</v>
      </c>
      <c r="F78" s="20">
        <f>IF(IF(IF(ISERROR(DATE(2027,4,1)=DATE(YEAR('Model inputs'!AA123),MONTH('Model inputs'!AA123),1)),DATE(2027,4,1)=DATE(YEAR('Model inputs'!AA123),MONTH('Model inputs'!AA123),1),IF(DATE(YEAR('Model inputs'!AA123),MONTH('Model inputs'!AA123),1)="","",DATE(2027,4,1)=DATE(YEAR('Model inputs'!AA123),MONTH('Model inputs'!AA123),1)))="",FALSE,IF(ISERROR(DATE(2027,4,1)=DATE(YEAR('Model inputs'!AA123),MONTH('Model inputs'!AA123),1)),DATE(2027,4,1)=DATE(YEAR('Model inputs'!AA123),MONTH('Model inputs'!AA123),1),IF(DATE(YEAR('Model inputs'!AA123),MONTH('Model inputs'!AA123),1)="","",DATE(2027,4,1)=DATE(YEAR('Model inputs'!AA123),MONTH('Model inputs'!AA123),1)))),IF('Model inputs'!AA108="","",'Model inputs'!AA108),IF('Model inputs'!E9="","",'Model inputs'!E9))</f>
        <v>20066</v>
      </c>
      <c r="G78" s="20">
        <f>IF(IF(IF(ISERROR(DATE(2027,5,1)=DATE(YEAR('Model inputs'!AA123),MONTH('Model inputs'!AA123),1)),DATE(2027,5,1)=DATE(YEAR('Model inputs'!AA123),MONTH('Model inputs'!AA123),1),IF(DATE(YEAR('Model inputs'!AA123),MONTH('Model inputs'!AA123),1)="","",DATE(2027,5,1)=DATE(YEAR('Model inputs'!AA123),MONTH('Model inputs'!AA123),1)))="",FALSE,IF(ISERROR(DATE(2027,5,1)=DATE(YEAR('Model inputs'!AA123),MONTH('Model inputs'!AA123),1)),DATE(2027,5,1)=DATE(YEAR('Model inputs'!AA123),MONTH('Model inputs'!AA123),1),IF(DATE(YEAR('Model inputs'!AA123),MONTH('Model inputs'!AA123),1)="","",DATE(2027,5,1)=DATE(YEAR('Model inputs'!AA123),MONTH('Model inputs'!AA123),1)))),IF('Model inputs'!AA108="","",'Model inputs'!AA108),IF('Model inputs'!F9="","",'Model inputs'!F9))</f>
        <v>20732</v>
      </c>
      <c r="H78" s="20">
        <f>IF(IF(IF(ISERROR(DATE(2027,6,1)=DATE(YEAR('Model inputs'!AA123),MONTH('Model inputs'!AA123),1)),DATE(2027,6,1)=DATE(YEAR('Model inputs'!AA123),MONTH('Model inputs'!AA123),1),IF(DATE(YEAR('Model inputs'!AA123),MONTH('Model inputs'!AA123),1)="","",DATE(2027,6,1)=DATE(YEAR('Model inputs'!AA123),MONTH('Model inputs'!AA123),1)))="",FALSE,IF(ISERROR(DATE(2027,6,1)=DATE(YEAR('Model inputs'!AA123),MONTH('Model inputs'!AA123),1)),DATE(2027,6,1)=DATE(YEAR('Model inputs'!AA123),MONTH('Model inputs'!AA123),1),IF(DATE(YEAR('Model inputs'!AA123),MONTH('Model inputs'!AA123),1)="","",DATE(2027,6,1)=DATE(YEAR('Model inputs'!AA123),MONTH('Model inputs'!AA123),1)))),IF('Model inputs'!AA108="","",'Model inputs'!AA108),IF('Model inputs'!G9="","",'Model inputs'!G9))</f>
        <v>21812</v>
      </c>
      <c r="I78" s="20">
        <f>IF(IF(IF(ISERROR(DATE(2027,7,1)=DATE(YEAR('Model inputs'!AA123),MONTH('Model inputs'!AA123),1)),DATE(2027,7,1)=DATE(YEAR('Model inputs'!AA123),MONTH('Model inputs'!AA123),1),IF(DATE(YEAR('Model inputs'!AA123),MONTH('Model inputs'!AA123),1)="","",DATE(2027,7,1)=DATE(YEAR('Model inputs'!AA123),MONTH('Model inputs'!AA123),1)))="",FALSE,IF(ISERROR(DATE(2027,7,1)=DATE(YEAR('Model inputs'!AA123),MONTH('Model inputs'!AA123),1)),DATE(2027,7,1)=DATE(YEAR('Model inputs'!AA123),MONTH('Model inputs'!AA123),1),IF(DATE(YEAR('Model inputs'!AA123),MONTH('Model inputs'!AA123),1)="","",DATE(2027,7,1)=DATE(YEAR('Model inputs'!AA123),MONTH('Model inputs'!AA123),1)))),IF('Model inputs'!AA108="","",'Model inputs'!AA108),IF('Model inputs'!H9="","",'Model inputs'!H9))</f>
        <v>23306</v>
      </c>
      <c r="J78" s="20">
        <f>IF(IF(IF(ISERROR(DATE(2027,8,1)=DATE(YEAR('Model inputs'!AA123),MONTH('Model inputs'!AA123),1)),DATE(2027,8,1)=DATE(YEAR('Model inputs'!AA123),MONTH('Model inputs'!AA123),1),IF(DATE(YEAR('Model inputs'!AA123),MONTH('Model inputs'!AA123),1)="","",DATE(2027,8,1)=DATE(YEAR('Model inputs'!AA123),MONTH('Model inputs'!AA123),1)))="",FALSE,IF(ISERROR(DATE(2027,8,1)=DATE(YEAR('Model inputs'!AA123),MONTH('Model inputs'!AA123),1)),DATE(2027,8,1)=DATE(YEAR('Model inputs'!AA123),MONTH('Model inputs'!AA123),1),IF(DATE(YEAR('Model inputs'!AA123),MONTH('Model inputs'!AA123),1)="","",DATE(2027,8,1)=DATE(YEAR('Model inputs'!AA123),MONTH('Model inputs'!AA123),1)))),IF('Model inputs'!AA108="","",'Model inputs'!AA108),IF('Model inputs'!I9="","",'Model inputs'!I9))</f>
        <v>25214</v>
      </c>
      <c r="K78" s="20">
        <f>IF(IF(IF(ISERROR(DATE(2027,9,1)=DATE(YEAR('Model inputs'!AA123),MONTH('Model inputs'!AA123),1)),DATE(2027,9,1)=DATE(YEAR('Model inputs'!AA123),MONTH('Model inputs'!AA123),1),IF(DATE(YEAR('Model inputs'!AA123),MONTH('Model inputs'!AA123),1)="","",DATE(2027,9,1)=DATE(YEAR('Model inputs'!AA123),MONTH('Model inputs'!AA123),1)))="",FALSE,IF(ISERROR(DATE(2027,9,1)=DATE(YEAR('Model inputs'!AA123),MONTH('Model inputs'!AA123),1)),DATE(2027,9,1)=DATE(YEAR('Model inputs'!AA123),MONTH('Model inputs'!AA123),1),IF(DATE(YEAR('Model inputs'!AA123),MONTH('Model inputs'!AA123),1)="","",DATE(2027,9,1)=DATE(YEAR('Model inputs'!AA123),MONTH('Model inputs'!AA123),1)))),IF('Model inputs'!AA108="","",'Model inputs'!AA108),IF('Model inputs'!J9="","",'Model inputs'!J9))</f>
        <v>27536</v>
      </c>
      <c r="L78" s="20">
        <f>IF(IF(IF(ISERROR(DATE(2027,10,1)=DATE(YEAR('Model inputs'!AA123),MONTH('Model inputs'!AA123),1)),DATE(2027,10,1)=DATE(YEAR('Model inputs'!AA123),MONTH('Model inputs'!AA123),1),IF(DATE(YEAR('Model inputs'!AA123),MONTH('Model inputs'!AA123),1)="","",DATE(2027,10,1)=DATE(YEAR('Model inputs'!AA123),MONTH('Model inputs'!AA123),1)))="",FALSE,IF(ISERROR(DATE(2027,10,1)=DATE(YEAR('Model inputs'!AA123),MONTH('Model inputs'!AA123),1)),DATE(2027,10,1)=DATE(YEAR('Model inputs'!AA123),MONTH('Model inputs'!AA123),1),IF(DATE(YEAR('Model inputs'!AA123),MONTH('Model inputs'!AA123),1)="","",DATE(2027,10,1)=DATE(YEAR('Model inputs'!AA123),MONTH('Model inputs'!AA123),1)))),IF('Model inputs'!AA108="","",'Model inputs'!AA108),IF('Model inputs'!K9="","",'Model inputs'!K9))</f>
        <v>29996</v>
      </c>
      <c r="M78" s="20">
        <f>IF(IF(IF(ISERROR(DATE(2027,11,1)=DATE(YEAR('Model inputs'!AA123),MONTH('Model inputs'!AA123),1)),DATE(2027,11,1)=DATE(YEAR('Model inputs'!AA123),MONTH('Model inputs'!AA123),1),IF(DATE(YEAR('Model inputs'!AA123),MONTH('Model inputs'!AA123),1)="","",DATE(2027,11,1)=DATE(YEAR('Model inputs'!AA123),MONTH('Model inputs'!AA123),1)))="",FALSE,IF(ISERROR(DATE(2027,11,1)=DATE(YEAR('Model inputs'!AA123),MONTH('Model inputs'!AA123),1)),DATE(2027,11,1)=DATE(YEAR('Model inputs'!AA123),MONTH('Model inputs'!AA123),1),IF(DATE(YEAR('Model inputs'!AA123),MONTH('Model inputs'!AA123),1)="","",DATE(2027,11,1)=DATE(YEAR('Model inputs'!AA123),MONTH('Model inputs'!AA123),1)))),IF('Model inputs'!AA108="","",'Model inputs'!AA108),IF('Model inputs'!L9="","",'Model inputs'!L9))</f>
        <v>32456</v>
      </c>
      <c r="N78" s="20">
        <f>IF(IF(IF(ISERROR(DATE(2027,12,1)=DATE(YEAR('Model inputs'!AA123),MONTH('Model inputs'!AA123),1)),DATE(2027,12,1)=DATE(YEAR('Model inputs'!AA123),MONTH('Model inputs'!AA123),1),IF(DATE(YEAR('Model inputs'!AA123),MONTH('Model inputs'!AA123),1)="","",DATE(2027,12,1)=DATE(YEAR('Model inputs'!AA123),MONTH('Model inputs'!AA123),1)))="",FALSE,IF(ISERROR(DATE(2027,12,1)=DATE(YEAR('Model inputs'!AA123),MONTH('Model inputs'!AA123),1)),DATE(2027,12,1)=DATE(YEAR('Model inputs'!AA123),MONTH('Model inputs'!AA123),1),IF(DATE(YEAR('Model inputs'!AA123),MONTH('Model inputs'!AA123),1)="","",DATE(2027,12,1)=DATE(YEAR('Model inputs'!AA123),MONTH('Model inputs'!AA123),1)))),IF('Model inputs'!AA108="","",'Model inputs'!AA108),IF('Model inputs'!M9="","",'Model inputs'!M9))</f>
        <v>34916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f>IF(IF(IF(ISERROR(DATE(2026,10,1)=DATE(YEAR('Model inputs'!AA123),MONTH('Model inputs'!AA123),1)),DATE(2026,10,1)=DATE(YEAR('Model inputs'!AA123),MONTH('Model inputs'!AA123),1),IF(DATE(YEAR('Model inputs'!AA123),MONTH('Model inputs'!AA123),1)="","",DATE(2026,10,1)=DATE(YEAR('Model inputs'!AA123),MONTH('Model inputs'!AA123),1)))="",FALSE,IF(ISERROR(DATE(2026,10,1)=DATE(YEAR('Model inputs'!AA123),MONTH('Model inputs'!AA123),1)),DATE(2026,10,1)=DATE(YEAR('Model inputs'!AA123),MONTH('Model inputs'!AA123),1),IF(DATE(YEAR('Model inputs'!AA123),MONTH('Model inputs'!AA123),1)="","",DATE(2026,10,1)=DATE(YEAR('Model inputs'!AA123),MONTH('Model inputs'!AA123),1)))),IF('Model inputs'!AA108="","",'Model inputs'!AA108),IF('Model inputs'!W9="","",'Model inputs'!W9))</f>
        <v>0</v>
      </c>
      <c r="Y78" s="20">
        <f>IF(IF(IF(ISERROR(DATE(2026,11,1)=DATE(YEAR('Model inputs'!AA123),MONTH('Model inputs'!AA123),1)),DATE(2026,11,1)=DATE(YEAR('Model inputs'!AA123),MONTH('Model inputs'!AA123),1),IF(DATE(YEAR('Model inputs'!AA123),MONTH('Model inputs'!AA123),1)="","",DATE(2026,11,1)=DATE(YEAR('Model inputs'!AA123),MONTH('Model inputs'!AA123),1)))="",FALSE,IF(ISERROR(DATE(2026,11,1)=DATE(YEAR('Model inputs'!AA123),MONTH('Model inputs'!AA123),1)),DATE(2026,11,1)=DATE(YEAR('Model inputs'!AA123),MONTH('Model inputs'!AA123),1),IF(DATE(YEAR('Model inputs'!AA123),MONTH('Model inputs'!AA123),1)="","",DATE(2026,11,1)=DATE(YEAR('Model inputs'!AA123),MONTH('Model inputs'!AA123),1)))),IF('Model inputs'!AA108="","",'Model inputs'!AA108),IF('Model inputs'!X9="","",'Model inputs'!X9))</f>
        <v>-300</v>
      </c>
    </row>
    <row r="79">
      <c r="A79" t="inlineStr" s="28">
        <is>
          <t xml:space="preserve">Caixa inicial do mês — projeção Base (EUR) · Caixa final — projeção Base (EUR) · Base — fixos 500 €/mês · Base — fixos 500 €/mês</t>
        </is>
      </c>
      <c r="B79" s="20">
        <f>IF(IF(IF(ISERROR(DATE(2026,12,1)=DATE(YEAR('Model inputs'!AA124),MONTH('Model inputs'!AA124),1)),DATE(2026,12,1)=DATE(YEAR('Model inputs'!AA124),MONTH('Model inputs'!AA124),1),IF(DATE(YEAR('Model inputs'!AA124),MONTH('Model inputs'!AA124),1)="","",DATE(2026,12,1)=DATE(YEAR('Model inputs'!AA124),MONTH('Model inputs'!AA124),1)))="",FALSE,IF(ISERROR(DATE(2026,12,1)=DATE(YEAR('Model inputs'!AA124),MONTH('Model inputs'!AA124),1)),DATE(2026,12,1)=DATE(YEAR('Model inputs'!AA124),MONTH('Model inputs'!AA124),1),IF(DATE(YEAR('Model inputs'!AA124),MONTH('Model inputs'!AA124),1)="","",DATE(2026,12,1)=DATE(YEAR('Model inputs'!AA124),MONTH('Model inputs'!AA124),1)))),IF('Model inputs'!AA109="","",'Model inputs'!AA109),IF('Model inputs'!Y10="","",'Model inputs'!Y10))</f>
        <v>-1000</v>
      </c>
      <c r="C79" s="20">
        <f>IF(IF(IF(ISERROR(DATE(2027,1,1)=DATE(YEAR('Model inputs'!AA124),MONTH('Model inputs'!AA124),1)),DATE(2027,1,1)=DATE(YEAR('Model inputs'!AA124),MONTH('Model inputs'!AA124),1),IF(DATE(YEAR('Model inputs'!AA124),MONTH('Model inputs'!AA124),1)="","",DATE(2027,1,1)=DATE(YEAR('Model inputs'!AA124),MONTH('Model inputs'!AA124),1)))="",FALSE,IF(ISERROR(DATE(2027,1,1)=DATE(YEAR('Model inputs'!AA124),MONTH('Model inputs'!AA124),1)),DATE(2027,1,1)=DATE(YEAR('Model inputs'!AA124),MONTH('Model inputs'!AA124),1),IF(DATE(YEAR('Model inputs'!AA124),MONTH('Model inputs'!AA124),1)="","",DATE(2027,1,1)=DATE(YEAR('Model inputs'!AA124),MONTH('Model inputs'!AA124),1)))),IF('Model inputs'!AA109="","",'Model inputs'!AA109),IF('Model inputs'!B10="","",'Model inputs'!B10))</f>
        <v>20000</v>
      </c>
      <c r="D79" s="20">
        <f>IF(IF(IF(ISERROR(DATE(2027,2,1)=DATE(YEAR('Model inputs'!AA124),MONTH('Model inputs'!AA124),1)),DATE(2027,2,1)=DATE(YEAR('Model inputs'!AA124),MONTH('Model inputs'!AA124),1),IF(DATE(YEAR('Model inputs'!AA124),MONTH('Model inputs'!AA124),1)="","",DATE(2027,2,1)=DATE(YEAR('Model inputs'!AA124),MONTH('Model inputs'!AA124),1)))="",FALSE,IF(ISERROR(DATE(2027,2,1)=DATE(YEAR('Model inputs'!AA124),MONTH('Model inputs'!AA124),1)),DATE(2027,2,1)=DATE(YEAR('Model inputs'!AA124),MONTH('Model inputs'!AA124),1),IF(DATE(YEAR('Model inputs'!AA124),MONTH('Model inputs'!AA124),1)="","",DATE(2027,2,1)=DATE(YEAR('Model inputs'!AA124),MONTH('Model inputs'!AA124),1)))),IF('Model inputs'!AA109="","",'Model inputs'!AA109),IF('Model inputs'!C10="","",'Model inputs'!C10))</f>
        <v>19569</v>
      </c>
      <c r="E79" s="20">
        <f>IF(IF(IF(ISERROR(DATE(2027,3,1)=DATE(YEAR('Model inputs'!AA124),MONTH('Model inputs'!AA124),1)),DATE(2027,3,1)=DATE(YEAR('Model inputs'!AA124),MONTH('Model inputs'!AA124),1),IF(DATE(YEAR('Model inputs'!AA124),MONTH('Model inputs'!AA124),1)="","",DATE(2027,3,1)=DATE(YEAR('Model inputs'!AA124),MONTH('Model inputs'!AA124),1)))="",FALSE,IF(ISERROR(DATE(2027,3,1)=DATE(YEAR('Model inputs'!AA124),MONTH('Model inputs'!AA124),1)),DATE(2027,3,1)=DATE(YEAR('Model inputs'!AA124),MONTH('Model inputs'!AA124),1),IF(DATE(YEAR('Model inputs'!AA124),MONTH('Model inputs'!AA124),1)="","",DATE(2027,3,1)=DATE(YEAR('Model inputs'!AA124),MONTH('Model inputs'!AA124),1)))),IF('Model inputs'!AA109="","",'Model inputs'!AA109),IF('Model inputs'!D10="","",'Model inputs'!D10))</f>
        <v>19345</v>
      </c>
      <c r="F79" s="20">
        <f>IF(IF(IF(ISERROR(DATE(2027,4,1)=DATE(YEAR('Model inputs'!AA124),MONTH('Model inputs'!AA124),1)),DATE(2027,4,1)=DATE(YEAR('Model inputs'!AA124),MONTH('Model inputs'!AA124),1),IF(DATE(YEAR('Model inputs'!AA124),MONTH('Model inputs'!AA124),1)="","",DATE(2027,4,1)=DATE(YEAR('Model inputs'!AA124),MONTH('Model inputs'!AA124),1)))="",FALSE,IF(ISERROR(DATE(2027,4,1)=DATE(YEAR('Model inputs'!AA124),MONTH('Model inputs'!AA124),1)),DATE(2027,4,1)=DATE(YEAR('Model inputs'!AA124),MONTH('Model inputs'!AA124),1),IF(DATE(YEAR('Model inputs'!AA124),MONTH('Model inputs'!AA124),1)="","",DATE(2027,4,1)=DATE(YEAR('Model inputs'!AA124),MONTH('Model inputs'!AA124),1)))),IF('Model inputs'!AA109="","",'Model inputs'!AA109),IF('Model inputs'!E10="","",'Model inputs'!E10))</f>
        <v>19466</v>
      </c>
      <c r="G79" s="20">
        <f>IF(IF(IF(ISERROR(DATE(2027,5,1)=DATE(YEAR('Model inputs'!AA124),MONTH('Model inputs'!AA124),1)),DATE(2027,5,1)=DATE(YEAR('Model inputs'!AA124),MONTH('Model inputs'!AA124),1),IF(DATE(YEAR('Model inputs'!AA124),MONTH('Model inputs'!AA124),1)="","",DATE(2027,5,1)=DATE(YEAR('Model inputs'!AA124),MONTH('Model inputs'!AA124),1)))="",FALSE,IF(ISERROR(DATE(2027,5,1)=DATE(YEAR('Model inputs'!AA124),MONTH('Model inputs'!AA124),1)),DATE(2027,5,1)=DATE(YEAR('Model inputs'!AA124),MONTH('Model inputs'!AA124),1),IF(DATE(YEAR('Model inputs'!AA124),MONTH('Model inputs'!AA124),1)="","",DATE(2027,5,1)=DATE(YEAR('Model inputs'!AA124),MONTH('Model inputs'!AA124),1)))),IF('Model inputs'!AA109="","",'Model inputs'!AA109),IF('Model inputs'!F10="","",'Model inputs'!F10))</f>
        <v>19932</v>
      </c>
      <c r="H79" s="20">
        <f>IF(IF(IF(ISERROR(DATE(2027,6,1)=DATE(YEAR('Model inputs'!AA124),MONTH('Model inputs'!AA124),1)),DATE(2027,6,1)=DATE(YEAR('Model inputs'!AA124),MONTH('Model inputs'!AA124),1),IF(DATE(YEAR('Model inputs'!AA124),MONTH('Model inputs'!AA124),1)="","",DATE(2027,6,1)=DATE(YEAR('Model inputs'!AA124),MONTH('Model inputs'!AA124),1)))="",FALSE,IF(ISERROR(DATE(2027,6,1)=DATE(YEAR('Model inputs'!AA124),MONTH('Model inputs'!AA124),1)),DATE(2027,6,1)=DATE(YEAR('Model inputs'!AA124),MONTH('Model inputs'!AA124),1),IF(DATE(YEAR('Model inputs'!AA124),MONTH('Model inputs'!AA124),1)="","",DATE(2027,6,1)=DATE(YEAR('Model inputs'!AA124),MONTH('Model inputs'!AA124),1)))),IF('Model inputs'!AA109="","",'Model inputs'!AA109),IF('Model inputs'!G10="","",'Model inputs'!G10))</f>
        <v>20812</v>
      </c>
      <c r="I79" s="20">
        <f>IF(IF(IF(ISERROR(DATE(2027,7,1)=DATE(YEAR('Model inputs'!AA124),MONTH('Model inputs'!AA124),1)),DATE(2027,7,1)=DATE(YEAR('Model inputs'!AA124),MONTH('Model inputs'!AA124),1),IF(DATE(YEAR('Model inputs'!AA124),MONTH('Model inputs'!AA124),1)="","",DATE(2027,7,1)=DATE(YEAR('Model inputs'!AA124),MONTH('Model inputs'!AA124),1)))="",FALSE,IF(ISERROR(DATE(2027,7,1)=DATE(YEAR('Model inputs'!AA124),MONTH('Model inputs'!AA124),1)),DATE(2027,7,1)=DATE(YEAR('Model inputs'!AA124),MONTH('Model inputs'!AA124),1),IF(DATE(YEAR('Model inputs'!AA124),MONTH('Model inputs'!AA124),1)="","",DATE(2027,7,1)=DATE(YEAR('Model inputs'!AA124),MONTH('Model inputs'!AA124),1)))),IF('Model inputs'!AA109="","",'Model inputs'!AA109),IF('Model inputs'!H10="","",'Model inputs'!H10))</f>
        <v>22106</v>
      </c>
      <c r="J79" s="20">
        <f>IF(IF(IF(ISERROR(DATE(2027,8,1)=DATE(YEAR('Model inputs'!AA124),MONTH('Model inputs'!AA124),1)),DATE(2027,8,1)=DATE(YEAR('Model inputs'!AA124),MONTH('Model inputs'!AA124),1),IF(DATE(YEAR('Model inputs'!AA124),MONTH('Model inputs'!AA124),1)="","",DATE(2027,8,1)=DATE(YEAR('Model inputs'!AA124),MONTH('Model inputs'!AA124),1)))="",FALSE,IF(ISERROR(DATE(2027,8,1)=DATE(YEAR('Model inputs'!AA124),MONTH('Model inputs'!AA124),1)),DATE(2027,8,1)=DATE(YEAR('Model inputs'!AA124),MONTH('Model inputs'!AA124),1),IF(DATE(YEAR('Model inputs'!AA124),MONTH('Model inputs'!AA124),1)="","",DATE(2027,8,1)=DATE(YEAR('Model inputs'!AA124),MONTH('Model inputs'!AA124),1)))),IF('Model inputs'!AA109="","",'Model inputs'!AA109),IF('Model inputs'!I10="","",'Model inputs'!I10))</f>
        <v>23814</v>
      </c>
      <c r="K79" s="20">
        <f>IF(IF(IF(ISERROR(DATE(2027,9,1)=DATE(YEAR('Model inputs'!AA124),MONTH('Model inputs'!AA124),1)),DATE(2027,9,1)=DATE(YEAR('Model inputs'!AA124),MONTH('Model inputs'!AA124),1),IF(DATE(YEAR('Model inputs'!AA124),MONTH('Model inputs'!AA124),1)="","",DATE(2027,9,1)=DATE(YEAR('Model inputs'!AA124),MONTH('Model inputs'!AA124),1)))="",FALSE,IF(ISERROR(DATE(2027,9,1)=DATE(YEAR('Model inputs'!AA124),MONTH('Model inputs'!AA124),1)),DATE(2027,9,1)=DATE(YEAR('Model inputs'!AA124),MONTH('Model inputs'!AA124),1),IF(DATE(YEAR('Model inputs'!AA124),MONTH('Model inputs'!AA124),1)="","",DATE(2027,9,1)=DATE(YEAR('Model inputs'!AA124),MONTH('Model inputs'!AA124),1)))),IF('Model inputs'!AA109="","",'Model inputs'!AA109),IF('Model inputs'!J10="","",'Model inputs'!J10))</f>
        <v>25936</v>
      </c>
      <c r="L79" s="20">
        <f>IF(IF(IF(ISERROR(DATE(2027,10,1)=DATE(YEAR('Model inputs'!AA124),MONTH('Model inputs'!AA124),1)),DATE(2027,10,1)=DATE(YEAR('Model inputs'!AA124),MONTH('Model inputs'!AA124),1),IF(DATE(YEAR('Model inputs'!AA124),MONTH('Model inputs'!AA124),1)="","",DATE(2027,10,1)=DATE(YEAR('Model inputs'!AA124),MONTH('Model inputs'!AA124),1)))="",FALSE,IF(ISERROR(DATE(2027,10,1)=DATE(YEAR('Model inputs'!AA124),MONTH('Model inputs'!AA124),1)),DATE(2027,10,1)=DATE(YEAR('Model inputs'!AA124),MONTH('Model inputs'!AA124),1),IF(DATE(YEAR('Model inputs'!AA124),MONTH('Model inputs'!AA124),1)="","",DATE(2027,10,1)=DATE(YEAR('Model inputs'!AA124),MONTH('Model inputs'!AA124),1)))),IF('Model inputs'!AA109="","",'Model inputs'!AA109),IF('Model inputs'!K10="","",'Model inputs'!K10))</f>
        <v>28196</v>
      </c>
      <c r="M79" s="20">
        <f>IF(IF(IF(ISERROR(DATE(2027,11,1)=DATE(YEAR('Model inputs'!AA124),MONTH('Model inputs'!AA124),1)),DATE(2027,11,1)=DATE(YEAR('Model inputs'!AA124),MONTH('Model inputs'!AA124),1),IF(DATE(YEAR('Model inputs'!AA124),MONTH('Model inputs'!AA124),1)="","",DATE(2027,11,1)=DATE(YEAR('Model inputs'!AA124),MONTH('Model inputs'!AA124),1)))="",FALSE,IF(ISERROR(DATE(2027,11,1)=DATE(YEAR('Model inputs'!AA124),MONTH('Model inputs'!AA124),1)),DATE(2027,11,1)=DATE(YEAR('Model inputs'!AA124),MONTH('Model inputs'!AA124),1),IF(DATE(YEAR('Model inputs'!AA124),MONTH('Model inputs'!AA124),1)="","",DATE(2027,11,1)=DATE(YEAR('Model inputs'!AA124),MONTH('Model inputs'!AA124),1)))),IF('Model inputs'!AA109="","",'Model inputs'!AA109),IF('Model inputs'!L10="","",'Model inputs'!L10))</f>
        <v>30456</v>
      </c>
      <c r="N79" s="20">
        <f>IF(IF(IF(ISERROR(DATE(2027,12,1)=DATE(YEAR('Model inputs'!AA124),MONTH('Model inputs'!AA124),1)),DATE(2027,12,1)=DATE(YEAR('Model inputs'!AA124),MONTH('Model inputs'!AA124),1),IF(DATE(YEAR('Model inputs'!AA124),MONTH('Model inputs'!AA124),1)="","",DATE(2027,12,1)=DATE(YEAR('Model inputs'!AA124),MONTH('Model inputs'!AA124),1)))="",FALSE,IF(ISERROR(DATE(2027,12,1)=DATE(YEAR('Model inputs'!AA124),MONTH('Model inputs'!AA124),1)),DATE(2027,12,1)=DATE(YEAR('Model inputs'!AA124),MONTH('Model inputs'!AA124),1),IF(DATE(YEAR('Model inputs'!AA124),MONTH('Model inputs'!AA124),1)="","",DATE(2027,12,1)=DATE(YEAR('Model inputs'!AA124),MONTH('Model inputs'!AA124),1)))),IF('Model inputs'!AA109="","",'Model inputs'!AA109),IF('Model inputs'!M10="","",'Model inputs'!M10))</f>
        <v>32716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f>IF(IF(IF(ISERROR(DATE(2026,10,1)=DATE(YEAR('Model inputs'!AA124),MONTH('Model inputs'!AA124),1)),DATE(2026,10,1)=DATE(YEAR('Model inputs'!AA124),MONTH('Model inputs'!AA124),1),IF(DATE(YEAR('Model inputs'!AA124),MONTH('Model inputs'!AA124),1)="","",DATE(2026,10,1)=DATE(YEAR('Model inputs'!AA124),MONTH('Model inputs'!AA124),1)))="",FALSE,IF(ISERROR(DATE(2026,10,1)=DATE(YEAR('Model inputs'!AA124),MONTH('Model inputs'!AA124),1)),DATE(2026,10,1)=DATE(YEAR('Model inputs'!AA124),MONTH('Model inputs'!AA124),1),IF(DATE(YEAR('Model inputs'!AA124),MONTH('Model inputs'!AA124),1)="","",DATE(2026,10,1)=DATE(YEAR('Model inputs'!AA124),MONTH('Model inputs'!AA124),1)))),IF('Model inputs'!AA109="","",'Model inputs'!AA109),IF('Model inputs'!W10="","",'Model inputs'!W10))</f>
        <v>0</v>
      </c>
      <c r="Y79" s="20">
        <f>IF(IF(IF(ISERROR(DATE(2026,11,1)=DATE(YEAR('Model inputs'!AA124),MONTH('Model inputs'!AA124),1)),DATE(2026,11,1)=DATE(YEAR('Model inputs'!AA124),MONTH('Model inputs'!AA124),1),IF(DATE(YEAR('Model inputs'!AA124),MONTH('Model inputs'!AA124),1)="","",DATE(2026,11,1)=DATE(YEAR('Model inputs'!AA124),MONTH('Model inputs'!AA124),1)))="",FALSE,IF(ISERROR(DATE(2026,11,1)=DATE(YEAR('Model inputs'!AA124),MONTH('Model inputs'!AA124),1)),DATE(2026,11,1)=DATE(YEAR('Model inputs'!AA124),MONTH('Model inputs'!AA124),1),IF(DATE(YEAR('Model inputs'!AA124),MONTH('Model inputs'!AA124),1)="","",DATE(2026,11,1)=DATE(YEAR('Model inputs'!AA124),MONTH('Model inputs'!AA124),1)))),IF('Model inputs'!AA109="","",'Model inputs'!AA109),IF('Model inputs'!X10="","",'Model inputs'!X10))</f>
        <v>-500</v>
      </c>
    </row>
    <row r="80">
      <c r="A80" t="inlineStr" s="28">
        <is>
          <t xml:space="preserve">Custo variável por domínio por mês — estimativa (EUR) · Entrega mensal — projeção Base (EUR) · Teste Pro 109 € — fixos 500 €/mês · Teste Pro 109 € — fixos 500 €/mês</t>
        </is>
      </c>
      <c r="AA80" s="9">
        <f>3</f>
        <v>3</v>
      </c>
    </row>
    <row r="81">
      <c r="A81" t="inlineStr" s="28">
        <is>
          <t xml:space="preserve">Custo variável por domínio por mês — estimativa (EUR) · Entrega mensal — projeção Base (EUR) · Base — fixos 400 €/mês · Base — fixos 400 €/mês</t>
        </is>
      </c>
      <c r="AA81" s="9">
        <f>3</f>
        <v>3</v>
      </c>
    </row>
    <row r="82">
      <c r="A82" t="inlineStr" s="28">
        <is>
          <t xml:space="preserve">Custo variável por domínio por mês — estimativa (EUR) · Entrega mensal — projeção Base (EUR) · Teste Pro 109 € — fixos 400 €/mês · Teste Pro 109 € — fixos 400 €/mês</t>
        </is>
      </c>
      <c r="AA82" s="9">
        <f>3</f>
        <v>3</v>
      </c>
    </row>
    <row r="83">
      <c r="A83" t="inlineStr" s="28">
        <is>
          <t xml:space="preserve">Custo variável por domínio por mês — estimativa (EUR) · Entrega mensal — projeção Base (EUR) · Base — fixos 300 €/mês · Base — fixos 300 €/mês</t>
        </is>
      </c>
      <c r="AA83" s="9">
        <f>3</f>
        <v>3</v>
      </c>
    </row>
    <row r="84">
      <c r="A84" t="inlineStr" s="28">
        <is>
          <t xml:space="preserve">Custo variável por domínio por mês — estimativa (EUR) · Entrega mensal — projeção Base (EUR) · Teste Pro 119 € — fixos 500 €/mês · Teste Pro 119 € — fixos 500 €/mês</t>
        </is>
      </c>
      <c r="AA84" s="9">
        <f>3</f>
        <v>3</v>
      </c>
    </row>
    <row r="85">
      <c r="A85" t="inlineStr" s="28">
        <is>
          <t xml:space="preserve">Custo variável por domínio por mês — estimativa (EUR) · Entrega mensal — projeção Base (EUR) · Teste Pro 119 € — fixos 400 €/mês · Teste Pro 119 € — fixos 400 €/mês</t>
        </is>
      </c>
      <c r="AA85" s="9">
        <f>3</f>
        <v>3</v>
      </c>
    </row>
    <row r="86">
      <c r="A86" t="inlineStr" s="28">
        <is>
          <t xml:space="preserve">Custo variável por domínio por mês — estimativa (EUR) · Entrega mensal — projeção Base (EUR) · Teste Pro 109 € — fixos 300 €/mês · Teste Pro 109 € — fixos 300 €/mês</t>
        </is>
      </c>
      <c r="AA86" s="9">
        <f>3</f>
        <v>3</v>
      </c>
    </row>
    <row r="87">
      <c r="A87" t="inlineStr" s="28">
        <is>
          <t xml:space="preserve">Custo variável por domínio por mês — estimativa (EUR) · Entrega mensal — projeção Base (EUR) · Teste Pro 119 € — fixos 300 €/mês · Teste Pro 119 € — fixos 300 €/mês</t>
        </is>
      </c>
      <c r="AA87" s="9">
        <f>3</f>
        <v>3</v>
      </c>
    </row>
    <row r="88">
      <c r="A88" t="inlineStr" s="28">
        <is>
          <t xml:space="preserve">Custos totais mensais — projeção Base (EUR) · EBITDA mensal — projeção Base (EUR) · Teste Pro 109 € — fixos 500 €/mês · Teste Pro 109 € — fixos 500 €/mês</t>
        </is>
      </c>
      <c r="B88" s="20">
        <f>'Model inputs'!B52+'Model inputs'!B116</f>
        <v>500</v>
      </c>
      <c r="C88" s="20">
        <f>'Model inputs'!C52+'Model inputs'!C116</f>
        <v>530</v>
      </c>
      <c r="D88" s="20">
        <f>'Model inputs'!D52+'Model inputs'!D116</f>
        <v>620</v>
      </c>
      <c r="E88" s="20">
        <f>'Model inputs'!E52+'Model inputs'!E116</f>
        <v>770</v>
      </c>
      <c r="F88" s="20">
        <f>'Model inputs'!F52+'Model inputs'!F116</f>
        <v>920</v>
      </c>
      <c r="G88" s="20">
        <f>'Model inputs'!G52+'Model inputs'!G116</f>
        <v>1100</v>
      </c>
      <c r="H88" s="20">
        <f>'Model inputs'!H52+'Model inputs'!H116</f>
        <v>1280</v>
      </c>
      <c r="I88" s="20">
        <f>'Model inputs'!I52+'Model inputs'!I116</f>
        <v>1460</v>
      </c>
      <c r="J88" s="20">
        <f>'Model inputs'!J52+'Model inputs'!J116</f>
        <v>1640</v>
      </c>
      <c r="K88" s="20">
        <f>'Model inputs'!K52+'Model inputs'!K116</f>
        <v>1700</v>
      </c>
      <c r="L88" s="20">
        <f>'Model inputs'!L52+'Model inputs'!L116</f>
        <v>1700</v>
      </c>
      <c r="M88" s="20">
        <f>'Model inputs'!M52+'Model inputs'!M116</f>
        <v>1700</v>
      </c>
      <c r="N88" s="20">
        <f>'Model inputs'!N52+'Model inputs'!N116</f>
        <v>1700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f>'Model inputs'!X52+'Model inputs'!X116</f>
        <v>500</v>
      </c>
      <c r="Y88" s="20">
        <f>'Model inputs'!Y52+'Model inputs'!Y116</f>
        <v>500</v>
      </c>
    </row>
    <row r="89">
      <c r="A89" t="inlineStr" s="28">
        <is>
          <t xml:space="preserve">Custos totais mensais — projeção Base (EUR) · EBITDA mensal — projeção Base (EUR) · Teste Pro 109 € — fixos 400 €/mês · Teste Pro 109 € — fixos 400 €/mês</t>
        </is>
      </c>
      <c r="B89" s="20">
        <f>'Model inputs'!B54+'Model inputs'!B117</f>
        <v>400</v>
      </c>
      <c r="C89" s="20">
        <f>'Model inputs'!C54+'Model inputs'!C117</f>
        <v>430</v>
      </c>
      <c r="D89" s="20">
        <f>'Model inputs'!D54+'Model inputs'!D117</f>
        <v>520</v>
      </c>
      <c r="E89" s="20">
        <f>'Model inputs'!E54+'Model inputs'!E117</f>
        <v>670</v>
      </c>
      <c r="F89" s="20">
        <f>'Model inputs'!F54+'Model inputs'!F117</f>
        <v>820</v>
      </c>
      <c r="G89" s="20">
        <f>'Model inputs'!G54+'Model inputs'!G117</f>
        <v>1000</v>
      </c>
      <c r="H89" s="20">
        <f>'Model inputs'!H54+'Model inputs'!H117</f>
        <v>1180</v>
      </c>
      <c r="I89" s="20">
        <f>'Model inputs'!I54+'Model inputs'!I117</f>
        <v>1360</v>
      </c>
      <c r="J89" s="20">
        <f>'Model inputs'!J54+'Model inputs'!J117</f>
        <v>1540</v>
      </c>
      <c r="K89" s="20">
        <f>'Model inputs'!K54+'Model inputs'!K117</f>
        <v>1600</v>
      </c>
      <c r="L89" s="20">
        <f>'Model inputs'!L54+'Model inputs'!L117</f>
        <v>1600</v>
      </c>
      <c r="M89" s="20">
        <f>'Model inputs'!M54+'Model inputs'!M117</f>
        <v>1600</v>
      </c>
      <c r="N89" s="20">
        <f>'Model inputs'!N54+'Model inputs'!N117</f>
        <v>1600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f>'Model inputs'!X54+'Model inputs'!X117</f>
        <v>400</v>
      </c>
      <c r="Y89" s="20">
        <f>'Model inputs'!Y54+'Model inputs'!Y117</f>
        <v>400</v>
      </c>
    </row>
    <row r="90">
      <c r="A90" t="inlineStr" s="28">
        <is>
          <t xml:space="preserve">Custos totais mensais — projeção Base (EUR) · EBITDA mensal — projeção Base (EUR) · Teste Pro 119 € — fixos 500 €/mês · Teste Pro 119 € — fixos 500 €/mês</t>
        </is>
      </c>
      <c r="B90" s="20">
        <f>'Model inputs'!B56+'Model inputs'!B118</f>
        <v>500</v>
      </c>
      <c r="C90" s="20">
        <f>'Model inputs'!C56+'Model inputs'!C118</f>
        <v>530</v>
      </c>
      <c r="D90" s="20">
        <f>'Model inputs'!D56+'Model inputs'!D118</f>
        <v>620</v>
      </c>
      <c r="E90" s="20">
        <f>'Model inputs'!E56+'Model inputs'!E118</f>
        <v>770</v>
      </c>
      <c r="F90" s="20">
        <f>'Model inputs'!F56+'Model inputs'!F118</f>
        <v>920</v>
      </c>
      <c r="G90" s="20">
        <f>'Model inputs'!G56+'Model inputs'!G118</f>
        <v>1100</v>
      </c>
      <c r="H90" s="20">
        <f>'Model inputs'!H56+'Model inputs'!H118</f>
        <v>1280</v>
      </c>
      <c r="I90" s="20">
        <f>'Model inputs'!I56+'Model inputs'!I118</f>
        <v>1460</v>
      </c>
      <c r="J90" s="20">
        <f>'Model inputs'!J56+'Model inputs'!J118</f>
        <v>1640</v>
      </c>
      <c r="K90" s="20">
        <f>'Model inputs'!K56+'Model inputs'!K118</f>
        <v>1700</v>
      </c>
      <c r="L90" s="20">
        <f>'Model inputs'!L56+'Model inputs'!L118</f>
        <v>1700</v>
      </c>
      <c r="M90" s="20">
        <f>'Model inputs'!M56+'Model inputs'!M118</f>
        <v>1700</v>
      </c>
      <c r="N90" s="20">
        <f>'Model inputs'!N56+'Model inputs'!N118</f>
        <v>1700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f>'Model inputs'!X56+'Model inputs'!X118</f>
        <v>500</v>
      </c>
      <c r="Y90" s="20">
        <f>'Model inputs'!Y56+'Model inputs'!Y118</f>
        <v>500</v>
      </c>
    </row>
    <row r="91">
      <c r="A91" t="inlineStr" s="28">
        <is>
          <t xml:space="preserve">Custos totais mensais — projeção Base (EUR) · EBITDA mensal — projeção Base (EUR) · Teste Pro 119 € — fixos 400 €/mês · Teste Pro 119 € — fixos 400 €/mês</t>
        </is>
      </c>
      <c r="B91" s="20">
        <f>'Model inputs'!B57+'Model inputs'!B119</f>
        <v>400</v>
      </c>
      <c r="C91" s="20">
        <f>'Model inputs'!C57+'Model inputs'!C119</f>
        <v>430</v>
      </c>
      <c r="D91" s="20">
        <f>'Model inputs'!D57+'Model inputs'!D119</f>
        <v>520</v>
      </c>
      <c r="E91" s="20">
        <f>'Model inputs'!E57+'Model inputs'!E119</f>
        <v>670</v>
      </c>
      <c r="F91" s="20">
        <f>'Model inputs'!F57+'Model inputs'!F119</f>
        <v>820</v>
      </c>
      <c r="G91" s="20">
        <f>'Model inputs'!G57+'Model inputs'!G119</f>
        <v>1000</v>
      </c>
      <c r="H91" s="20">
        <f>'Model inputs'!H57+'Model inputs'!H119</f>
        <v>1180</v>
      </c>
      <c r="I91" s="20">
        <f>'Model inputs'!I57+'Model inputs'!I119</f>
        <v>1360</v>
      </c>
      <c r="J91" s="20">
        <f>'Model inputs'!J57+'Model inputs'!J119</f>
        <v>1540</v>
      </c>
      <c r="K91" s="20">
        <f>'Model inputs'!K57+'Model inputs'!K119</f>
        <v>1600</v>
      </c>
      <c r="L91" s="20">
        <f>'Model inputs'!L57+'Model inputs'!L119</f>
        <v>1600</v>
      </c>
      <c r="M91" s="20">
        <f>'Model inputs'!M57+'Model inputs'!M119</f>
        <v>1600</v>
      </c>
      <c r="N91" s="20">
        <f>'Model inputs'!N57+'Model inputs'!N119</f>
        <v>1600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f>'Model inputs'!X57+'Model inputs'!X119</f>
        <v>400</v>
      </c>
      <c r="Y91" s="20">
        <f>'Model inputs'!Y57+'Model inputs'!Y119</f>
        <v>400</v>
      </c>
    </row>
    <row r="92">
      <c r="A92" t="inlineStr" s="28">
        <is>
          <t xml:space="preserve">Custos totais mensais — projeção Base (EUR) · EBITDA mensal — projeção Base (EUR) · Teste Pro 109 € — fixos 300 €/mês · Teste Pro 109 € — fixos 300 €/mês</t>
        </is>
      </c>
      <c r="B92" s="20">
        <f>'Model inputs'!B58+'Model inputs'!B120</f>
        <v>300</v>
      </c>
      <c r="C92" s="20">
        <f>'Model inputs'!C58+'Model inputs'!C120</f>
        <v>330</v>
      </c>
      <c r="D92" s="20">
        <f>'Model inputs'!D58+'Model inputs'!D120</f>
        <v>420</v>
      </c>
      <c r="E92" s="20">
        <f>'Model inputs'!E58+'Model inputs'!E120</f>
        <v>570</v>
      </c>
      <c r="F92" s="20">
        <f>'Model inputs'!F58+'Model inputs'!F120</f>
        <v>720</v>
      </c>
      <c r="G92" s="20">
        <f>'Model inputs'!G58+'Model inputs'!G120</f>
        <v>900</v>
      </c>
      <c r="H92" s="20">
        <f>'Model inputs'!H58+'Model inputs'!H120</f>
        <v>1080</v>
      </c>
      <c r="I92" s="20">
        <f>'Model inputs'!I58+'Model inputs'!I120</f>
        <v>1260</v>
      </c>
      <c r="J92" s="20">
        <f>'Model inputs'!J58+'Model inputs'!J120</f>
        <v>1440</v>
      </c>
      <c r="K92" s="20">
        <f>'Model inputs'!K58+'Model inputs'!K120</f>
        <v>1500</v>
      </c>
      <c r="L92" s="20">
        <f>'Model inputs'!L58+'Model inputs'!L120</f>
        <v>1500</v>
      </c>
      <c r="M92" s="20">
        <f>'Model inputs'!M58+'Model inputs'!M120</f>
        <v>1500</v>
      </c>
      <c r="N92" s="20">
        <f>'Model inputs'!N58+'Model inputs'!N120</f>
        <v>1500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f>'Model inputs'!X58+'Model inputs'!X120</f>
        <v>300</v>
      </c>
      <c r="Y92" s="20">
        <f>'Model inputs'!Y58+'Model inputs'!Y120</f>
        <v>300</v>
      </c>
    </row>
    <row r="93">
      <c r="A93" t="inlineStr" s="28">
        <is>
          <t xml:space="preserve">Custos totais mensais — projeção Base (EUR) · EBITDA mensal — projeção Base (EUR) · Teste Pro 119 € — fixos 300 €/mês · Teste Pro 119 € — fixos 300 €/mês</t>
        </is>
      </c>
      <c r="B93" s="20">
        <f>'Model inputs'!B59+'Model inputs'!B121</f>
        <v>300</v>
      </c>
      <c r="C93" s="20">
        <f>'Model inputs'!C59+'Model inputs'!C121</f>
        <v>330</v>
      </c>
      <c r="D93" s="20">
        <f>'Model inputs'!D59+'Model inputs'!D121</f>
        <v>420</v>
      </c>
      <c r="E93" s="20">
        <f>'Model inputs'!E59+'Model inputs'!E121</f>
        <v>570</v>
      </c>
      <c r="F93" s="20">
        <f>'Model inputs'!F59+'Model inputs'!F121</f>
        <v>720</v>
      </c>
      <c r="G93" s="20">
        <f>'Model inputs'!G59+'Model inputs'!G121</f>
        <v>900</v>
      </c>
      <c r="H93" s="20">
        <f>'Model inputs'!H59+'Model inputs'!H121</f>
        <v>1080</v>
      </c>
      <c r="I93" s="20">
        <f>'Model inputs'!I59+'Model inputs'!I121</f>
        <v>1260</v>
      </c>
      <c r="J93" s="20">
        <f>'Model inputs'!J59+'Model inputs'!J121</f>
        <v>1440</v>
      </c>
      <c r="K93" s="20">
        <f>'Model inputs'!K59+'Model inputs'!K121</f>
        <v>1500</v>
      </c>
      <c r="L93" s="20">
        <f>'Model inputs'!L59+'Model inputs'!L121</f>
        <v>1500</v>
      </c>
      <c r="M93" s="20">
        <f>'Model inputs'!M59+'Model inputs'!M121</f>
        <v>1500</v>
      </c>
      <c r="N93" s="20">
        <f>'Model inputs'!N59+'Model inputs'!N121</f>
        <v>1500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f>'Model inputs'!X59+'Model inputs'!X121</f>
        <v>300</v>
      </c>
      <c r="Y93" s="20">
        <f>'Model inputs'!Y59+'Model inputs'!Y121</f>
        <v>300</v>
      </c>
    </row>
    <row r="94">
      <c r="A94" t="inlineStr" s="28">
        <is>
          <t xml:space="preserve">Domínios médios por cliente Pro — hipótese · Entrega mensal — projeção Base (EUR) · Teste Pro 109 € — fixos 500 €/mês · Teste Pro 109 € — fixos 500 €/mês</t>
        </is>
      </c>
      <c r="AA94" s="9">
        <f>10</f>
        <v>10</v>
      </c>
    </row>
    <row r="95">
      <c r="A95" t="inlineStr" s="28">
        <is>
          <t xml:space="preserve">Domínios médios por cliente Pro — hipótese · Entrega mensal — projeção Base (EUR) · Base — fixos 400 €/mês · Base — fixos 400 €/mês</t>
        </is>
      </c>
      <c r="AA95" s="9">
        <f>10</f>
        <v>10</v>
      </c>
    </row>
    <row r="96">
      <c r="A96" t="inlineStr" s="28">
        <is>
          <t xml:space="preserve">Domínios médios por cliente Pro — hipótese · Entrega mensal — projeção Base (EUR) · Teste Pro 109 € — fixos 400 €/mês · Teste Pro 109 € — fixos 400 €/mês</t>
        </is>
      </c>
      <c r="AA96" s="9">
        <f>10</f>
        <v>10</v>
      </c>
    </row>
    <row r="97">
      <c r="A97" t="inlineStr" s="28">
        <is>
          <t xml:space="preserve">Domínios médios por cliente Pro — hipótese · Entrega mensal — projeção Base (EUR) · Base — fixos 300 €/mês · Base — fixos 300 €/mês</t>
        </is>
      </c>
      <c r="AA97" s="9">
        <f>10</f>
        <v>10</v>
      </c>
    </row>
    <row r="98">
      <c r="A98" t="inlineStr" s="28">
        <is>
          <t xml:space="preserve">Domínios médios por cliente Pro — hipótese · Entrega mensal — projeção Base (EUR) · Teste Pro 119 € — fixos 500 €/mês · Teste Pro 119 € — fixos 500 €/mês</t>
        </is>
      </c>
      <c r="AA98" s="9">
        <f>10</f>
        <v>10</v>
      </c>
    </row>
    <row r="99">
      <c r="A99" t="inlineStr" s="28">
        <is>
          <t xml:space="preserve">Domínios médios por cliente Pro — hipótese · Entrega mensal — projeção Base (EUR) · Teste Pro 119 € — fixos 400 €/mês · Teste Pro 119 € — fixos 400 €/mês</t>
        </is>
      </c>
      <c r="AA99" s="9">
        <f>10</f>
        <v>10</v>
      </c>
    </row>
    <row r="100">
      <c r="A100" t="inlineStr" s="28">
        <is>
          <t xml:space="preserve">Domínios médios por cliente Pro — hipótese · Entrega mensal — projeção Base (EUR) · Teste Pro 109 € — fixos 300 €/mês · Teste Pro 109 € — fixos 300 €/mês</t>
        </is>
      </c>
      <c r="AA100" s="9">
        <f>10</f>
        <v>10</v>
      </c>
    </row>
    <row r="101">
      <c r="A101" t="inlineStr" s="28">
        <is>
          <t xml:space="preserve">Domínios médios por cliente Pro — hipótese · Entrega mensal — projeção Base (EUR) · Teste Pro 119 € — fixos 300 €/mês · Teste Pro 119 € — fixos 300 €/mês</t>
        </is>
      </c>
      <c r="AA101" s="9">
        <f>10</f>
        <v>10</v>
      </c>
    </row>
    <row r="102">
      <c r="A102" t="inlineStr" s="28">
        <is>
          <t xml:space="preserve">Entrega mensal — projeção Base (EUR) · Caixa final — projeção Base (EUR) · Base — fixos 500 €/mês · Base — fixos 500 €/mês</t>
        </is>
      </c>
      <c r="B102" s="20">
        <f>'Model inputs'!B110*'Model inputs'!AA112*'Model inputs'!AA111</f>
        <v>0</v>
      </c>
      <c r="C102" s="20">
        <f>'Model inputs'!C110*'Model inputs'!AA112*'Model inputs'!AA111</f>
        <v>30</v>
      </c>
      <c r="D102" s="20">
        <f>'Model inputs'!D110*'Model inputs'!AA112*'Model inputs'!AA111</f>
        <v>120</v>
      </c>
      <c r="E102" s="20">
        <f>'Model inputs'!E110*'Model inputs'!AA112*'Model inputs'!AA111</f>
        <v>270</v>
      </c>
      <c r="F102" s="20">
        <f>'Model inputs'!F110*'Model inputs'!AA112*'Model inputs'!AA111</f>
        <v>420</v>
      </c>
      <c r="G102" s="20">
        <f>'Model inputs'!G110*'Model inputs'!AA112*'Model inputs'!AA111</f>
        <v>600</v>
      </c>
      <c r="H102" s="20">
        <f>'Model inputs'!H110*'Model inputs'!AA112*'Model inputs'!AA111</f>
        <v>780</v>
      </c>
      <c r="I102" s="20">
        <f>'Model inputs'!I110*'Model inputs'!AA112*'Model inputs'!AA111</f>
        <v>960</v>
      </c>
      <c r="J102" s="20">
        <f>'Model inputs'!J110*'Model inputs'!AA112*'Model inputs'!AA111</f>
        <v>1140</v>
      </c>
      <c r="K102" s="20">
        <f>'Model inputs'!K110*'Model inputs'!AA112*'Model inputs'!AA111</f>
        <v>1200</v>
      </c>
      <c r="L102" s="20">
        <f>'Model inputs'!L110*'Model inputs'!AA112*'Model inputs'!AA111</f>
        <v>1200</v>
      </c>
      <c r="M102" s="20">
        <f>'Model inputs'!M110*'Model inputs'!AA112*'Model inputs'!AA111</f>
        <v>1200</v>
      </c>
      <c r="N102" s="20">
        <f>'Model inputs'!N110*'Model inputs'!AA112*'Model inputs'!AA111</f>
        <v>1200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f>'Model inputs'!X110*'Model inputs'!AA112*'Model inputs'!AA111</f>
        <v>0</v>
      </c>
      <c r="Y102" s="20">
        <f>'Model inputs'!Y110*'Model inputs'!AA112*'Model inputs'!AA111</f>
        <v>0</v>
      </c>
    </row>
    <row r="103">
      <c r="A103" t="inlineStr" s="28">
        <is>
          <t xml:space="preserve">Fixos mensais — projeção Base (EUR) · Caixa final — projeção Base (EUR) · Base — fixos 400 €/mês · Base — fixos 400 €/mês</t>
        </is>
      </c>
      <c r="B103" s="20">
        <f>'Model inputs'!AA113/12</f>
        <v>400</v>
      </c>
      <c r="C103" s="20">
        <f>'Model inputs'!AA113/12</f>
        <v>400</v>
      </c>
      <c r="D103" s="20">
        <f>'Model inputs'!AA113/12</f>
        <v>400</v>
      </c>
      <c r="E103" s="20">
        <f>'Model inputs'!AA113/12</f>
        <v>400</v>
      </c>
      <c r="F103" s="20">
        <f>'Model inputs'!AA113/12</f>
        <v>400</v>
      </c>
      <c r="G103" s="20">
        <f>'Model inputs'!AA113/12</f>
        <v>400</v>
      </c>
      <c r="H103" s="20">
        <f>'Model inputs'!AA113/12</f>
        <v>400</v>
      </c>
      <c r="I103" s="20">
        <f>'Model inputs'!AA113/12</f>
        <v>400</v>
      </c>
      <c r="J103" s="20">
        <f>'Model inputs'!AA113/12</f>
        <v>400</v>
      </c>
      <c r="K103" s="20">
        <f>'Model inputs'!AA113/12</f>
        <v>400</v>
      </c>
      <c r="L103" s="20">
        <f>'Model inputs'!AA113/12</f>
        <v>400</v>
      </c>
      <c r="M103" s="20">
        <f>'Model inputs'!AA113/12</f>
        <v>400</v>
      </c>
      <c r="N103" s="20">
        <f>'Model inputs'!AA113/12</f>
        <v>400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f>'Model inputs'!AA113/12</f>
        <v>400</v>
      </c>
      <c r="Y103" s="20">
        <f>'Model inputs'!AA113/12</f>
        <v>400</v>
      </c>
    </row>
    <row r="104">
      <c r="A104" t="inlineStr" s="28">
        <is>
          <t xml:space="preserve">Fixos mensais — projeção Base (EUR) · Caixa final — projeção Base (EUR) · Base — fixos 300 €/mês · Base — fixos 300 €/mês</t>
        </is>
      </c>
      <c r="B104" s="20">
        <f>'Model inputs'!AA114/12</f>
        <v>300</v>
      </c>
      <c r="C104" s="20">
        <f>'Model inputs'!AA114/12</f>
        <v>300</v>
      </c>
      <c r="D104" s="20">
        <f>'Model inputs'!AA114/12</f>
        <v>300</v>
      </c>
      <c r="E104" s="20">
        <f>'Model inputs'!AA114/12</f>
        <v>300</v>
      </c>
      <c r="F104" s="20">
        <f>'Model inputs'!AA114/12</f>
        <v>300</v>
      </c>
      <c r="G104" s="20">
        <f>'Model inputs'!AA114/12</f>
        <v>300</v>
      </c>
      <c r="H104" s="20">
        <f>'Model inputs'!AA114/12</f>
        <v>300</v>
      </c>
      <c r="I104" s="20">
        <f>'Model inputs'!AA114/12</f>
        <v>300</v>
      </c>
      <c r="J104" s="20">
        <f>'Model inputs'!AA114/12</f>
        <v>300</v>
      </c>
      <c r="K104" s="20">
        <f>'Model inputs'!AA114/12</f>
        <v>300</v>
      </c>
      <c r="L104" s="20">
        <f>'Model inputs'!AA114/12</f>
        <v>300</v>
      </c>
      <c r="M104" s="20">
        <f>'Model inputs'!AA114/12</f>
        <v>300</v>
      </c>
      <c r="N104" s="20">
        <f>'Model inputs'!AA114/12</f>
        <v>300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f>'Model inputs'!AA114/12</f>
        <v>300</v>
      </c>
      <c r="Y104" s="20">
        <f>'Model inputs'!AA114/12</f>
        <v>300</v>
      </c>
    </row>
    <row r="105">
      <c r="A105" t="inlineStr" s="28">
        <is>
          <t xml:space="preserve">Fixos mensais — projeção Base (EUR) · Caixa final — projeção Base (EUR) · Base — fixos 500 €/mês · Base — fixos 500 €/mês</t>
        </is>
      </c>
      <c r="B105" s="20">
        <f>'Model inputs'!AA115/12</f>
        <v>500</v>
      </c>
      <c r="C105" s="20">
        <f>'Model inputs'!AA115/12</f>
        <v>500</v>
      </c>
      <c r="D105" s="20">
        <f>'Model inputs'!AA115/12</f>
        <v>500</v>
      </c>
      <c r="E105" s="20">
        <f>'Model inputs'!AA115/12</f>
        <v>500</v>
      </c>
      <c r="F105" s="20">
        <f>'Model inputs'!AA115/12</f>
        <v>500</v>
      </c>
      <c r="G105" s="20">
        <f>'Model inputs'!AA115/12</f>
        <v>500</v>
      </c>
      <c r="H105" s="20">
        <f>'Model inputs'!AA115/12</f>
        <v>500</v>
      </c>
      <c r="I105" s="20">
        <f>'Model inputs'!AA115/12</f>
        <v>500</v>
      </c>
      <c r="J105" s="20">
        <f>'Model inputs'!AA115/12</f>
        <v>500</v>
      </c>
      <c r="K105" s="20">
        <f>'Model inputs'!AA115/12</f>
        <v>500</v>
      </c>
      <c r="L105" s="20">
        <f>'Model inputs'!AA115/12</f>
        <v>500</v>
      </c>
      <c r="M105" s="20">
        <f>'Model inputs'!AA115/12</f>
        <v>500</v>
      </c>
      <c r="N105" s="20">
        <f>'Model inputs'!AA115/12</f>
        <v>500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f>'Model inputs'!AA115/12</f>
        <v>500</v>
      </c>
      <c r="Y105" s="20">
        <f>'Model inputs'!AA115/12</f>
        <v>500</v>
      </c>
    </row>
    <row r="106">
      <c r="A106" t="inlineStr" s="28">
        <is>
          <t xml:space="preserve">Receita mensal — projeção Base (EUR) · Caixa final — projeção Base (EUR) · Base — fixos 500 €/mês · Base — fixos 500 €/mês</t>
        </is>
      </c>
      <c r="B106" s="20">
        <f>'Model inputs'!B110*'Model inputs'!AA127</f>
        <v>0</v>
      </c>
      <c r="C106" s="20">
        <f>'Model inputs'!C110*'Model inputs'!AA127</f>
        <v>99</v>
      </c>
      <c r="D106" s="20">
        <f>'Model inputs'!D110*'Model inputs'!AA127</f>
        <v>396</v>
      </c>
      <c r="E106" s="20">
        <f>'Model inputs'!E110*'Model inputs'!AA127</f>
        <v>891</v>
      </c>
      <c r="F106" s="20">
        <f>'Model inputs'!F110*'Model inputs'!AA127</f>
        <v>1386</v>
      </c>
      <c r="G106" s="20">
        <f>'Model inputs'!G110*'Model inputs'!AA127</f>
        <v>1980</v>
      </c>
      <c r="H106" s="20">
        <f>'Model inputs'!H110*'Model inputs'!AA127</f>
        <v>2574</v>
      </c>
      <c r="I106" s="20">
        <f>'Model inputs'!I110*'Model inputs'!AA127</f>
        <v>3168</v>
      </c>
      <c r="J106" s="20">
        <f>'Model inputs'!J110*'Model inputs'!AA127</f>
        <v>3762</v>
      </c>
      <c r="K106" s="20">
        <f>'Model inputs'!K110*'Model inputs'!AA127</f>
        <v>3960</v>
      </c>
      <c r="L106" s="20">
        <f>'Model inputs'!L110*'Model inputs'!AA127</f>
        <v>3960</v>
      </c>
      <c r="M106" s="20">
        <f>'Model inputs'!M110*'Model inputs'!AA127</f>
        <v>3960</v>
      </c>
      <c r="N106" s="20">
        <f>'Model inputs'!N110*'Model inputs'!AA127</f>
        <v>3960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f>'Model inputs'!X110*'Model inputs'!AA127</f>
        <v>0</v>
      </c>
      <c r="Y106" s="20">
        <f>'Model inputs'!Y110*'Model inputs'!AA127</f>
        <v>0</v>
      </c>
    </row>
    <row r="107">
      <c r="A107" t="inlineStr" s="28">
        <is>
          <t xml:space="preserve">Caixa inicial (EUR) · Caixa inicial do mês — projeção Base (EUR) · Caixa final — projeção Base (EUR) · Base — fixos 400 €/mês · Base — fixos 400 €/mês · Base — fixos 400 €/mês</t>
        </is>
      </c>
      <c r="AA107" s="9">
        <f>20000</f>
        <v>20000</v>
      </c>
    </row>
    <row r="108">
      <c r="A108" t="inlineStr" s="28">
        <is>
          <t xml:space="preserve">Caixa inicial (EUR) · Caixa inicial do mês — projeção Base (EUR) · Caixa final — projeção Base (EUR) · Base — fixos 300 €/mês · Base — fixos 300 €/mês · Base — fixos 300 €/mês</t>
        </is>
      </c>
      <c r="AA108" s="9">
        <f>20000</f>
        <v>20000</v>
      </c>
    </row>
    <row r="109">
      <c r="A109" t="inlineStr" s="28">
        <is>
          <t xml:space="preserve">Caixa inicial (EUR) · Caixa inicial do mês — projeção Base (EUR) · Caixa final — projeção Base (EUR) · Base — fixos 500 €/mês · Base — fixos 500 €/mês · Base — fixos 500 €/mês</t>
        </is>
      </c>
      <c r="AA109" s="9">
        <f>20000</f>
        <v>20000</v>
      </c>
    </row>
    <row r="110">
      <c r="A110" t="inlineStr" s="28">
        <is>
          <t xml:space="preserve">Clientes no fim do mês — projeção Base · Custos totais mensais — projeção Base (EUR) · Base — fixos 500 €/mês · Base — fixos 500 €/mês</t>
        </is>
      </c>
      <c r="B110" s="9">
        <v>0</v>
      </c>
      <c r="C110" s="9">
        <f>1</f>
        <v>1</v>
      </c>
      <c r="D110" s="9">
        <f>4</f>
        <v>4</v>
      </c>
      <c r="E110" s="9">
        <f>9</f>
        <v>9</v>
      </c>
      <c r="F110" s="9">
        <f>14</f>
        <v>14</v>
      </c>
      <c r="G110" s="9">
        <f>20</f>
        <v>20</v>
      </c>
      <c r="H110" s="9">
        <f>26</f>
        <v>26</v>
      </c>
      <c r="I110" s="9">
        <f>32</f>
        <v>32</v>
      </c>
      <c r="J110" s="9">
        <f>38</f>
        <v>38</v>
      </c>
      <c r="K110" s="9">
        <f>40</f>
        <v>40</v>
      </c>
      <c r="L110" s="9">
        <f>40</f>
        <v>40</v>
      </c>
      <c r="M110" s="9">
        <f>40</f>
        <v>40</v>
      </c>
      <c r="N110" s="9">
        <f>40</f>
        <v>40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</row>
    <row r="111">
      <c r="A111" t="inlineStr" s="28">
        <is>
          <t xml:space="preserve">Custo variável por domínio por mês — estimativa (EUR) · Entrega mensal — projeção Base (EUR) · Caixa final — projeção Base (EUR) · Base — fixos 500 €/mês · Base — fixos 500 €/mês · Base — fixos 500 €/mês</t>
        </is>
      </c>
      <c r="AA111" s="9">
        <f>3</f>
        <v>3</v>
      </c>
    </row>
    <row r="112">
      <c r="A112" t="inlineStr" s="28">
        <is>
          <t xml:space="preserve">Domínios médios por cliente Pro — hipótese · Entrega mensal — projeção Base (EUR) · Caixa final — projeção Base (EUR) · Base — fixos 500 €/mês · Base — fixos 500 €/mês · Base — fixos 500 €/mês</t>
        </is>
      </c>
      <c r="AA112" s="9">
        <f>10</f>
        <v>10</v>
      </c>
    </row>
    <row r="113">
      <c r="A113" t="inlineStr" s="28">
        <is>
          <t xml:space="preserve">Fixos anuais da projeção Base (EUR) · Fixos mensais — projeção Base (EUR) · Caixa final — projeção Base (EUR) · Base — fixos 400 €/mês · Base — fixos 400 €/mês · Base — fixos 400 €/mês</t>
        </is>
      </c>
      <c r="AA113" s="9">
        <f>'DisruptRadar — Projeção men (4)'!D5</f>
        <v>4800</v>
      </c>
    </row>
    <row r="114">
      <c r="A114" t="inlineStr" s="28">
        <is>
          <t xml:space="preserve">Fixos anuais da projeção Base (EUR) · Fixos mensais — projeção Base (EUR) · Caixa final — projeção Base (EUR) · Base — fixos 300 €/mês · Base — fixos 300 €/mês · Base — fixos 300 €/mês</t>
        </is>
      </c>
      <c r="AA114" s="9">
        <f>'DisruptRadar — Projeção men (4)'!C5</f>
        <v>3600</v>
      </c>
    </row>
    <row r="115">
      <c r="A115" t="inlineStr" s="28">
        <is>
          <t xml:space="preserve">Fixos anuais da projeção Base (EUR) · Fixos mensais — projeção Base (EUR) · Caixa final — projeção Base (EUR) · Base — fixos 500 €/mês · Base — fixos 500 €/mês · Base — fixos 500 €/mês</t>
        </is>
      </c>
      <c r="AA115" s="9">
        <f>'DisruptRadar — Projeção men (4)'!E5</f>
        <v>6000</v>
      </c>
    </row>
    <row r="116">
      <c r="A116" t="inlineStr" s="28">
        <is>
          <t xml:space="preserve">Fixos mensais — projeção Base (EUR) · EBITDA mensal — projeção Base (EUR) · Teste Pro 109 € — fixos 500 €/mês · Teste Pro 109 € — fixos 500 €/mês</t>
        </is>
      </c>
      <c r="B116" s="20">
        <f>'DisruptRadar — Projeção men (5)'!G6/12</f>
        <v>500</v>
      </c>
      <c r="C116" s="20">
        <f>'DisruptRadar — Projeção men (5)'!G6/12</f>
        <v>500</v>
      </c>
      <c r="D116" s="20">
        <f>'DisruptRadar — Projeção men (5)'!G6/12</f>
        <v>500</v>
      </c>
      <c r="E116" s="20">
        <f>'DisruptRadar — Projeção men (5)'!G6/12</f>
        <v>500</v>
      </c>
      <c r="F116" s="20">
        <f>'DisruptRadar — Projeção men (5)'!G6/12</f>
        <v>500</v>
      </c>
      <c r="G116" s="20">
        <f>'DisruptRadar — Projeção men (5)'!G6/12</f>
        <v>500</v>
      </c>
      <c r="H116" s="20">
        <f>'DisruptRadar — Projeção men (5)'!G6/12</f>
        <v>500</v>
      </c>
      <c r="I116" s="20">
        <f>'DisruptRadar — Projeção men (5)'!G6/12</f>
        <v>500</v>
      </c>
      <c r="J116" s="20">
        <f>'DisruptRadar — Projeção men (5)'!G6/12</f>
        <v>500</v>
      </c>
      <c r="K116" s="20">
        <f>'DisruptRadar — Projeção men (5)'!G6/12</f>
        <v>500</v>
      </c>
      <c r="L116" s="20">
        <f>'DisruptRadar — Projeção men (5)'!G6/12</f>
        <v>500</v>
      </c>
      <c r="M116" s="20">
        <f>'DisruptRadar — Projeção men (5)'!G6/12</f>
        <v>500</v>
      </c>
      <c r="N116" s="20">
        <f>'DisruptRadar — Projeção men (5)'!G6/12</f>
        <v>500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f>'DisruptRadar — Projeção men (5)'!G6/12</f>
        <v>500</v>
      </c>
      <c r="Y116" s="20">
        <f>'DisruptRadar — Projeção men (5)'!G6/12</f>
        <v>500</v>
      </c>
    </row>
    <row r="117">
      <c r="A117" t="inlineStr" s="28">
        <is>
          <t xml:space="preserve">Fixos mensais — projeção Base (EUR) · EBITDA mensal — projeção Base (EUR) · Teste Pro 109 € — fixos 400 €/mês · Teste Pro 109 € — fixos 400 €/mês</t>
        </is>
      </c>
      <c r="B117" s="20">
        <f>'DisruptRadar — Projeção men (5)'!F6/12</f>
        <v>400</v>
      </c>
      <c r="C117" s="20">
        <f>'DisruptRadar — Projeção men (5)'!F6/12</f>
        <v>400</v>
      </c>
      <c r="D117" s="20">
        <f>'DisruptRadar — Projeção men (5)'!F6/12</f>
        <v>400</v>
      </c>
      <c r="E117" s="20">
        <f>'DisruptRadar — Projeção men (5)'!F6/12</f>
        <v>400</v>
      </c>
      <c r="F117" s="20">
        <f>'DisruptRadar — Projeção men (5)'!F6/12</f>
        <v>400</v>
      </c>
      <c r="G117" s="20">
        <f>'DisruptRadar — Projeção men (5)'!F6/12</f>
        <v>400</v>
      </c>
      <c r="H117" s="20">
        <f>'DisruptRadar — Projeção men (5)'!F6/12</f>
        <v>400</v>
      </c>
      <c r="I117" s="20">
        <f>'DisruptRadar — Projeção men (5)'!F6/12</f>
        <v>400</v>
      </c>
      <c r="J117" s="20">
        <f>'DisruptRadar — Projeção men (5)'!F6/12</f>
        <v>400</v>
      </c>
      <c r="K117" s="20">
        <f>'DisruptRadar — Projeção men (5)'!F6/12</f>
        <v>400</v>
      </c>
      <c r="L117" s="20">
        <f>'DisruptRadar — Projeção men (5)'!F6/12</f>
        <v>400</v>
      </c>
      <c r="M117" s="20">
        <f>'DisruptRadar — Projeção men (5)'!F6/12</f>
        <v>400</v>
      </c>
      <c r="N117" s="20">
        <f>'DisruptRadar — Projeção men (5)'!F6/12</f>
        <v>400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f>'DisruptRadar — Projeção men (5)'!F6/12</f>
        <v>400</v>
      </c>
      <c r="Y117" s="20">
        <f>'DisruptRadar — Projeção men (5)'!F6/12</f>
        <v>400</v>
      </c>
    </row>
    <row r="118">
      <c r="A118" t="inlineStr" s="28">
        <is>
          <t xml:space="preserve">Fixos mensais — projeção Base (EUR) · EBITDA mensal — projeção Base (EUR) · Teste Pro 119 € — fixos 500 €/mês · Teste Pro 119 € — fixos 500 €/mês</t>
        </is>
      </c>
      <c r="B118" s="20">
        <f>'DisruptRadar — Projeção men (5)'!J6/12</f>
        <v>500</v>
      </c>
      <c r="C118" s="20">
        <f>'DisruptRadar — Projeção men (5)'!J6/12</f>
        <v>500</v>
      </c>
      <c r="D118" s="20">
        <f>'DisruptRadar — Projeção men (5)'!J6/12</f>
        <v>500</v>
      </c>
      <c r="E118" s="20">
        <f>'DisruptRadar — Projeção men (5)'!J6/12</f>
        <v>500</v>
      </c>
      <c r="F118" s="20">
        <f>'DisruptRadar — Projeção men (5)'!J6/12</f>
        <v>500</v>
      </c>
      <c r="G118" s="20">
        <f>'DisruptRadar — Projeção men (5)'!J6/12</f>
        <v>500</v>
      </c>
      <c r="H118" s="20">
        <f>'DisruptRadar — Projeção men (5)'!J6/12</f>
        <v>500</v>
      </c>
      <c r="I118" s="20">
        <f>'DisruptRadar — Projeção men (5)'!J6/12</f>
        <v>500</v>
      </c>
      <c r="J118" s="20">
        <f>'DisruptRadar — Projeção men (5)'!J6/12</f>
        <v>500</v>
      </c>
      <c r="K118" s="20">
        <f>'DisruptRadar — Projeção men (5)'!J6/12</f>
        <v>500</v>
      </c>
      <c r="L118" s="20">
        <f>'DisruptRadar — Projeção men (5)'!J6/12</f>
        <v>500</v>
      </c>
      <c r="M118" s="20">
        <f>'DisruptRadar — Projeção men (5)'!J6/12</f>
        <v>500</v>
      </c>
      <c r="N118" s="20">
        <f>'DisruptRadar — Projeção men (5)'!J6/12</f>
        <v>500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f>'DisruptRadar — Projeção men (5)'!J6/12</f>
        <v>500</v>
      </c>
      <c r="Y118" s="20">
        <f>'DisruptRadar — Projeção men (5)'!J6/12</f>
        <v>500</v>
      </c>
    </row>
    <row r="119">
      <c r="A119" t="inlineStr" s="28">
        <is>
          <t xml:space="preserve">Fixos mensais — projeção Base (EUR) · EBITDA mensal — projeção Base (EUR) · Teste Pro 119 € — fixos 400 €/mês · Teste Pro 119 € — fixos 400 €/mês</t>
        </is>
      </c>
      <c r="B119" s="20">
        <f>'DisruptRadar — Projeção men (5)'!I6/12</f>
        <v>400</v>
      </c>
      <c r="C119" s="20">
        <f>'DisruptRadar — Projeção men (5)'!I6/12</f>
        <v>400</v>
      </c>
      <c r="D119" s="20">
        <f>'DisruptRadar — Projeção men (5)'!I6/12</f>
        <v>400</v>
      </c>
      <c r="E119" s="20">
        <f>'DisruptRadar — Projeção men (5)'!I6/12</f>
        <v>400</v>
      </c>
      <c r="F119" s="20">
        <f>'DisruptRadar — Projeção men (5)'!I6/12</f>
        <v>400</v>
      </c>
      <c r="G119" s="20">
        <f>'DisruptRadar — Projeção men (5)'!I6/12</f>
        <v>400</v>
      </c>
      <c r="H119" s="20">
        <f>'DisruptRadar — Projeção men (5)'!I6/12</f>
        <v>400</v>
      </c>
      <c r="I119" s="20">
        <f>'DisruptRadar — Projeção men (5)'!I6/12</f>
        <v>400</v>
      </c>
      <c r="J119" s="20">
        <f>'DisruptRadar — Projeção men (5)'!I6/12</f>
        <v>400</v>
      </c>
      <c r="K119" s="20">
        <f>'DisruptRadar — Projeção men (5)'!I6/12</f>
        <v>400</v>
      </c>
      <c r="L119" s="20">
        <f>'DisruptRadar — Projeção men (5)'!I6/12</f>
        <v>400</v>
      </c>
      <c r="M119" s="20">
        <f>'DisruptRadar — Projeção men (5)'!I6/12</f>
        <v>400</v>
      </c>
      <c r="N119" s="20">
        <f>'DisruptRadar — Projeção men (5)'!I6/12</f>
        <v>400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f>'DisruptRadar — Projeção men (5)'!I6/12</f>
        <v>400</v>
      </c>
      <c r="Y119" s="20">
        <f>'DisruptRadar — Projeção men (5)'!I6/12</f>
        <v>400</v>
      </c>
    </row>
    <row r="120">
      <c r="A120" t="inlineStr" s="28">
        <is>
          <t xml:space="preserve">Fixos mensais — projeção Base (EUR) · EBITDA mensal — projeção Base (EUR) · Teste Pro 109 € — fixos 300 €/mês · Teste Pro 109 € — fixos 300 €/mês</t>
        </is>
      </c>
      <c r="B120" s="20">
        <f>'DisruptRadar — Projeção men (5)'!E6/12</f>
        <v>300</v>
      </c>
      <c r="C120" s="20">
        <f>'DisruptRadar — Projeção men (5)'!E6/12</f>
        <v>300</v>
      </c>
      <c r="D120" s="20">
        <f>'DisruptRadar — Projeção men (5)'!E6/12</f>
        <v>300</v>
      </c>
      <c r="E120" s="20">
        <f>'DisruptRadar — Projeção men (5)'!E6/12</f>
        <v>300</v>
      </c>
      <c r="F120" s="20">
        <f>'DisruptRadar — Projeção men (5)'!E6/12</f>
        <v>300</v>
      </c>
      <c r="G120" s="20">
        <f>'DisruptRadar — Projeção men (5)'!E6/12</f>
        <v>300</v>
      </c>
      <c r="H120" s="20">
        <f>'DisruptRadar — Projeção men (5)'!E6/12</f>
        <v>300</v>
      </c>
      <c r="I120" s="20">
        <f>'DisruptRadar — Projeção men (5)'!E6/12</f>
        <v>300</v>
      </c>
      <c r="J120" s="20">
        <f>'DisruptRadar — Projeção men (5)'!E6/12</f>
        <v>300</v>
      </c>
      <c r="K120" s="20">
        <f>'DisruptRadar — Projeção men (5)'!E6/12</f>
        <v>300</v>
      </c>
      <c r="L120" s="20">
        <f>'DisruptRadar — Projeção men (5)'!E6/12</f>
        <v>300</v>
      </c>
      <c r="M120" s="20">
        <f>'DisruptRadar — Projeção men (5)'!E6/12</f>
        <v>300</v>
      </c>
      <c r="N120" s="20">
        <f>'DisruptRadar — Projeção men (5)'!E6/12</f>
        <v>300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f>'DisruptRadar — Projeção men (5)'!E6/12</f>
        <v>300</v>
      </c>
      <c r="Y120" s="20">
        <f>'DisruptRadar — Projeção men (5)'!E6/12</f>
        <v>300</v>
      </c>
    </row>
    <row r="121">
      <c r="A121" t="inlineStr" s="28">
        <is>
          <t xml:space="preserve">Fixos mensais — projeção Base (EUR) · EBITDA mensal — projeção Base (EUR) · Teste Pro 119 € — fixos 300 €/mês · Teste Pro 119 € — fixos 300 €/mês</t>
        </is>
      </c>
      <c r="B121" s="20">
        <f>'DisruptRadar — Projeção men (5)'!H6/12</f>
        <v>300</v>
      </c>
      <c r="C121" s="20">
        <f>'DisruptRadar — Projeção men (5)'!H6/12</f>
        <v>300</v>
      </c>
      <c r="D121" s="20">
        <f>'DisruptRadar — Projeção men (5)'!H6/12</f>
        <v>300</v>
      </c>
      <c r="E121" s="20">
        <f>'DisruptRadar — Projeção men (5)'!H6/12</f>
        <v>300</v>
      </c>
      <c r="F121" s="20">
        <f>'DisruptRadar — Projeção men (5)'!H6/12</f>
        <v>300</v>
      </c>
      <c r="G121" s="20">
        <f>'DisruptRadar — Projeção men (5)'!H6/12</f>
        <v>300</v>
      </c>
      <c r="H121" s="20">
        <f>'DisruptRadar — Projeção men (5)'!H6/12</f>
        <v>300</v>
      </c>
      <c r="I121" s="20">
        <f>'DisruptRadar — Projeção men (5)'!H6/12</f>
        <v>300</v>
      </c>
      <c r="J121" s="20">
        <f>'DisruptRadar — Projeção men (5)'!H6/12</f>
        <v>300</v>
      </c>
      <c r="K121" s="20">
        <f>'DisruptRadar — Projeção men (5)'!H6/12</f>
        <v>300</v>
      </c>
      <c r="L121" s="20">
        <f>'DisruptRadar — Projeção men (5)'!H6/12</f>
        <v>300</v>
      </c>
      <c r="M121" s="20">
        <f>'DisruptRadar — Projeção men (5)'!H6/12</f>
        <v>300</v>
      </c>
      <c r="N121" s="20">
        <f>'DisruptRadar — Projeção men (5)'!H6/12</f>
        <v>300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f>'DisruptRadar — Projeção men (5)'!H6/12</f>
        <v>300</v>
      </c>
      <c r="Y121" s="20">
        <f>'DisruptRadar — Projeção men (5)'!H6/12</f>
        <v>300</v>
      </c>
    </row>
    <row r="122">
      <c r="A122" t="inlineStr" s="28">
        <is>
          <t xml:space="preserve">Início da projeção Base · Caixa inicial do mês — projeção Base (EUR) · Caixa final — projeção Base (EUR) · Base — fixos 400 €/mês · Base — fixos 400 €/mês · Base — fixos 400 €/mês</t>
        </is>
      </c>
      <c r="AA122" s="17">
        <f>DATE(2027,1,1)</f>
        <v>46388</v>
      </c>
    </row>
    <row r="123">
      <c r="A123" t="inlineStr" s="28">
        <is>
          <t xml:space="preserve">Início da projeção Base · Caixa inicial do mês — projeção Base (EUR) · Caixa final — projeção Base (EUR) · Base — fixos 300 €/mês · Base — fixos 300 €/mês · Base — fixos 300 €/mês</t>
        </is>
      </c>
      <c r="AA123" s="17">
        <f>DATE(2027,1,1)</f>
        <v>46388</v>
      </c>
    </row>
    <row r="124">
      <c r="A124" t="inlineStr" s="28">
        <is>
          <t xml:space="preserve">Início da projeção Base · Caixa inicial do mês — projeção Base (EUR) · Caixa final — projeção Base (EUR) · Base — fixos 500 €/mês · Base — fixos 500 €/mês · Base — fixos 500 €/mês</t>
        </is>
      </c>
      <c r="AA124" s="17">
        <f>DATE(2027,1,1)</f>
        <v>46388</v>
      </c>
    </row>
    <row r="125">
      <c r="A125" t="inlineStr" s="28">
        <is>
          <t xml:space="preserve">Preço mensal Pro (EUR) · Receita mensal — projeção Base (EUR) · Base — fixos 400 €/mês · Base — fixos 400 €/mês</t>
        </is>
      </c>
      <c r="AA125" s="9">
        <f>99</f>
        <v>99</v>
      </c>
    </row>
    <row r="126">
      <c r="A126" t="inlineStr" s="28">
        <is>
          <t xml:space="preserve">Preço mensal Pro (EUR) · Receita mensal — projeção Base (EUR) · Base — fixos 300 €/mês · Base — fixos 300 €/mês</t>
        </is>
      </c>
      <c r="AA126" s="9">
        <f>99</f>
        <v>99</v>
      </c>
    </row>
    <row r="127">
      <c r="A127" t="inlineStr" s="28">
        <is>
          <t xml:space="preserve">Preço mensal Pro (EUR) · Receita mensal — projeção Base (EUR) · Caixa final — projeção Base (EUR) · Base — fixos 500 €/mês · Base — fixos 500 €/mês · Base — fixos 500 €/mês</t>
        </is>
      </c>
      <c r="AA127" s="9">
        <f>99</f>
        <v>99</v>
      </c>
    </row>
  </sheetData>
  <mergeCells count="2">
    <mergeCell ref="A1:AA1"/>
    <mergeCell ref="A2:AA2"/>
  </mergeCells>
</worksheet>
</file>